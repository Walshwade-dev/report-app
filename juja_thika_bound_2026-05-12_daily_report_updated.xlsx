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C records" sheetId="2" state="visible" r:id="rId2"/>
    <sheet xmlns:r="http://schemas.openxmlformats.org/officeDocument/2006/relationships" name="Hswim Week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sz val="10"/>
    </font>
    <font>
      <name val="Arial"/>
      <b val="1"/>
      <sz val="12"/>
    </font>
    <font>
      <name val="Arial"/>
      <b val="1"/>
      <sz val="16"/>
    </font>
    <font>
      <name val="Arial"/>
      <b val="1"/>
      <sz val="14"/>
    </font>
    <font>
      <name val="Arial"/>
      <sz val="14"/>
    </font>
  </fonts>
  <fills count="5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0B050"/>
      </patternFill>
    </fill>
  </fills>
  <borders count="26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medium">
        <color rgb="00000000"/>
      </right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/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14" fontId="2" fillId="0" borderId="9" applyAlignment="1" pivotButton="0" quotePrefix="0" xfId="0">
      <alignment horizontal="center" vertical="top" wrapText="1"/>
    </xf>
    <xf numFmtId="0" fontId="1" fillId="0" borderId="10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center" wrapText="1"/>
    </xf>
    <xf numFmtId="3" fontId="2" fillId="0" borderId="1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2" pivotButton="0" quotePrefix="0" xfId="0"/>
    <xf numFmtId="0" fontId="0" fillId="0" borderId="13" pivotButton="0" quotePrefix="0" xfId="0"/>
    <xf numFmtId="3" fontId="2" fillId="0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top" wrapText="1"/>
    </xf>
    <xf numFmtId="0" fontId="6" fillId="0" borderId="14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10" applyAlignment="1" pivotButton="0" quotePrefix="0" xfId="0">
      <alignment horizontal="center" vertical="top" wrapText="1"/>
    </xf>
    <xf numFmtId="0" fontId="0" fillId="0" borderId="16" pivotButton="0" quotePrefix="0" xfId="0"/>
    <xf numFmtId="0" fontId="0" fillId="0" borderId="17" pivotButton="0" quotePrefix="0" xfId="0"/>
    <xf numFmtId="0" fontId="2" fillId="0" borderId="10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7" fillId="2" borderId="14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3" fontId="2" fillId="0" borderId="10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center" vertical="center" wrapText="1"/>
    </xf>
    <xf numFmtId="0" fontId="2" fillId="0" borderId="10" pivotButton="0" quotePrefix="0" xfId="0"/>
    <xf numFmtId="3" fontId="2" fillId="0" borderId="24" pivotButton="0" quotePrefix="0" xfId="0"/>
    <xf numFmtId="3" fontId="2" fillId="4" borderId="1" pivotButton="0" quotePrefix="0" xfId="0"/>
    <xf numFmtId="0" fontId="2" fillId="0" borderId="2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Graph on Trucks Weighed per Hour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'Summary'!U5</f>
            </strRef>
          </tx>
          <spPr>
            <a:ln xmlns:a="http://schemas.openxmlformats.org/drawingml/2006/main" w="28575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'Summary'!$T$6:$T$29</f>
            </numRef>
          </cat>
          <val>
            <numRef>
              <f>'Summary'!$U$6:$U$29</f>
            </numRef>
          </val>
        </ser>
        <ser>
          <idx val="1"/>
          <order val="1"/>
          <tx>
            <strRef>
              <f>'Summary'!V5</f>
            </strRef>
          </tx>
          <spPr>
            <a:ln xmlns:a="http://schemas.openxmlformats.org/drawingml/2006/main" w="28575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'Summary'!$T$6:$T$29</f>
            </numRef>
          </cat>
          <val>
            <numRef>
              <f>'Summary'!$V$6:$V$29</f>
            </numRef>
          </val>
        </ser>
        <ser>
          <idx val="2"/>
          <order val="2"/>
          <tx>
            <strRef>
              <f>'Summary'!W5</f>
            </strRef>
          </tx>
          <spPr>
            <a:ln xmlns:a="http://schemas.openxmlformats.org/drawingml/2006/main" w="28575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'Summary'!$T$6:$T$29</f>
            </numRef>
          </cat>
          <val>
            <numRef>
              <f>'Summary'!$W$6:$W$29</f>
            </numRef>
          </val>
        </ser>
        <ser>
          <idx val="3"/>
          <order val="3"/>
          <tx>
            <strRef>
              <f>'Summary'!X5</f>
            </strRef>
          </tx>
          <spPr>
            <a:ln xmlns:a="http://schemas.openxmlformats.org/drawingml/2006/main" w="2857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'Summary'!$T$6:$T$29</f>
            </numRef>
          </cat>
          <val>
            <numRef>
              <f>'Summary'!$X$6:$X$29</f>
            </numRef>
          </val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00"/>
          <min val="0"/>
        </scaling>
        <axPos val="l"/>
        <majorGridlines/>
        <majorTickMark val="none"/>
        <minorTickMark val="none"/>
        <crossAx val="10"/>
        <majorUnit val="5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18</col>
      <colOff>178594</colOff>
      <row>30</row>
      <rowOff>122283</rowOff>
    </from>
    <to>
      <col>24</col>
      <colOff>107156</colOff>
      <row>41</row>
      <rowOff>88246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X49"/>
  <sheetViews>
    <sheetView showGridLines="0" workbookViewId="0">
      <selection activeCell="A1" sqref="A1"/>
    </sheetView>
  </sheetViews>
  <sheetFormatPr baseColWidth="8" defaultRowHeight="15"/>
  <cols>
    <col width="7.28515625" customWidth="1" min="1" max="1"/>
    <col width="12.140625" customWidth="1" min="2" max="2"/>
    <col width="12.85546875" customWidth="1" min="3" max="3"/>
    <col width="13" customWidth="1" min="4" max="4"/>
    <col width="13.42578125" customWidth="1" min="5" max="5"/>
    <col width="12" customWidth="1" min="6" max="6"/>
    <col width="12.140625" customWidth="1" min="7" max="7"/>
    <col width="14.140625" customWidth="1" min="8" max="8"/>
    <col width="12.85546875" customWidth="1" min="9" max="9"/>
    <col width="13.140625" customWidth="1" min="10" max="10"/>
    <col width="12.7109375" customWidth="1" min="11" max="11"/>
    <col width="13" customWidth="1" min="12" max="12"/>
    <col width="13.140625" customWidth="1" min="13" max="13"/>
    <col width="12.28515625" customWidth="1" min="14" max="14"/>
    <col width="13.85546875" customWidth="1" min="15" max="15"/>
    <col width="11.140625" customWidth="1" min="16" max="16"/>
    <col width="10.85546875" customWidth="1" min="17" max="17"/>
    <col width="10.5703125" customWidth="1" min="18" max="18"/>
    <col width="9.28515625" customWidth="1" min="19" max="19"/>
    <col width="11.42578125" customWidth="1" min="20" max="20"/>
    <col width="14.85546875" customWidth="1" min="21" max="21"/>
    <col width="15.5703125" customWidth="1" min="22" max="22"/>
    <col width="16.85546875" customWidth="1" min="23" max="23"/>
    <col width="15.85546875" customWidth="1" min="24" max="24"/>
    <col width="9.140625" customWidth="1" min="25" max="25"/>
  </cols>
  <sheetData>
    <row r="1" ht="15.75" customHeight="1"/>
    <row r="2" ht="45.75" customHeight="1">
      <c r="B2" s="1" t="inlineStr">
        <is>
          <t xml:space="preserve">  Date</t>
        </is>
      </c>
      <c r="C2" s="1" t="inlineStr">
        <is>
          <t>Time</t>
        </is>
      </c>
      <c r="D2" s="1" t="inlineStr">
        <is>
          <t>Trucks Weighed</t>
        </is>
      </c>
      <c r="E2" s="2" t="n"/>
      <c r="F2" s="2" t="n"/>
      <c r="G2" s="2" t="n"/>
      <c r="H2" s="2" t="n"/>
      <c r="I2" s="3" t="n"/>
      <c r="J2" s="1" t="inlineStr">
        <is>
          <t>Called in</t>
        </is>
      </c>
      <c r="K2" s="1" t="inlineStr">
        <is>
          <t>Total overloaded</t>
        </is>
      </c>
      <c r="L2" s="1" t="inlineStr">
        <is>
          <t xml:space="preserve">Impounded &amp;  prohibited </t>
        </is>
      </c>
      <c r="M2" s="1" t="inlineStr">
        <is>
          <t>Warned Trucks</t>
        </is>
      </c>
      <c r="N2" s="1" t="inlineStr">
        <is>
          <t>Prohibited &amp; Charged</t>
        </is>
      </c>
      <c r="O2" s="1" t="inlineStr">
        <is>
          <t>Special Release Trucks</t>
        </is>
      </c>
      <c r="P2" s="1" t="inlineStr">
        <is>
          <t>Redistributed</t>
        </is>
      </c>
      <c r="Q2" s="1" t="inlineStr">
        <is>
          <t>Exemption permits NOT weighed</t>
        </is>
      </c>
      <c r="T2" s="1" t="inlineStr">
        <is>
          <t>TIME</t>
        </is>
      </c>
      <c r="U2" s="1" t="inlineStr">
        <is>
          <t>Weighed Scale Total (N)</t>
        </is>
      </c>
      <c r="V2" s="1" t="inlineStr">
        <is>
          <t>Manually(M)</t>
        </is>
      </c>
      <c r="W2" s="1" t="inlineStr">
        <is>
          <t>HSWIM CLEARED (Q)</t>
        </is>
      </c>
      <c r="X2" s="1" t="inlineStr">
        <is>
          <t>Total weighed (X)</t>
        </is>
      </c>
    </row>
    <row r="3" ht="34.5" customHeight="1">
      <c r="B3" s="4" t="n"/>
      <c r="C3" s="4" t="n"/>
      <c r="D3" s="1" t="inlineStr">
        <is>
          <t>Multideck</t>
        </is>
      </c>
      <c r="E3" s="1" t="inlineStr">
        <is>
          <t>Weighed SAW</t>
        </is>
      </c>
      <c r="F3" s="1" t="inlineStr">
        <is>
          <t xml:space="preserve">Manually </t>
        </is>
      </c>
      <c r="G3" s="1" t="inlineStr">
        <is>
          <t>HSWIM Total</t>
        </is>
      </c>
      <c r="H3" s="1" t="inlineStr">
        <is>
          <t>HSWIM CLEARED</t>
        </is>
      </c>
      <c r="I3" s="1" t="inlineStr">
        <is>
          <t>Total weighed</t>
        </is>
      </c>
      <c r="J3" s="1" t="inlineStr">
        <is>
          <t>(C)</t>
        </is>
      </c>
      <c r="K3" s="1" t="inlineStr">
        <is>
          <t>(Y)= (A+Z+G+R)</t>
        </is>
      </c>
      <c r="L3" s="5" t="n"/>
      <c r="M3" s="1" t="inlineStr">
        <is>
          <t>(A)</t>
        </is>
      </c>
      <c r="N3" s="1" t="inlineStr">
        <is>
          <t>(Z)</t>
        </is>
      </c>
      <c r="O3" s="1" t="inlineStr">
        <is>
          <t>(G)</t>
        </is>
      </c>
      <c r="P3" s="1" t="inlineStr">
        <is>
          <t>(R)</t>
        </is>
      </c>
      <c r="Q3" s="5" t="n"/>
      <c r="T3" s="4" t="n"/>
      <c r="U3" s="4" t="n"/>
      <c r="V3" s="4" t="n"/>
      <c r="W3" s="4" t="n"/>
      <c r="X3" s="4" t="n"/>
    </row>
    <row r="4" ht="30.75" customHeight="1">
      <c r="B4" s="4" t="n"/>
      <c r="C4" s="4" t="n"/>
      <c r="D4" s="1" t="inlineStr">
        <is>
          <t>(D)</t>
        </is>
      </c>
      <c r="E4" s="1" t="inlineStr">
        <is>
          <t>(S)</t>
        </is>
      </c>
      <c r="F4" s="1" t="inlineStr">
        <is>
          <t>(M)</t>
        </is>
      </c>
      <c r="G4" s="1" t="inlineStr">
        <is>
          <t>(H)</t>
        </is>
      </c>
      <c r="H4" s="1" t="inlineStr">
        <is>
          <t>Q = H-C</t>
        </is>
      </c>
      <c r="I4" s="1" t="inlineStr">
        <is>
          <t>X= (D+S+M)</t>
        </is>
      </c>
      <c r="J4" s="4" t="n"/>
      <c r="K4" s="4" t="n"/>
      <c r="L4" s="1" t="inlineStr">
        <is>
          <t>(P)= (Z+R)</t>
        </is>
      </c>
      <c r="M4" s="4" t="n"/>
      <c r="N4" s="4" t="n"/>
      <c r="O4" s="4" t="n"/>
      <c r="P4" s="4" t="n"/>
      <c r="Q4" s="1" t="inlineStr">
        <is>
          <t>(E)</t>
        </is>
      </c>
      <c r="T4" s="4" t="n"/>
      <c r="U4" s="5" t="n"/>
      <c r="V4" s="5" t="n"/>
      <c r="W4" s="5" t="n"/>
      <c r="X4" s="5" t="n"/>
    </row>
    <row r="5" ht="32.25" customHeight="1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T5" s="5" t="n"/>
      <c r="U5" s="1" t="inlineStr">
        <is>
          <t>N=(D+S)</t>
        </is>
      </c>
      <c r="V5" s="1" t="inlineStr">
        <is>
          <t>(M)</t>
        </is>
      </c>
      <c r="W5" s="1" t="inlineStr">
        <is>
          <t>Q= H-C</t>
        </is>
      </c>
      <c r="X5" s="1" t="inlineStr">
        <is>
          <t>X= (D+S+M)</t>
        </is>
      </c>
    </row>
    <row r="6" ht="15" customHeight="1">
      <c r="B6" s="6" t="n">
        <v>46154</v>
      </c>
      <c r="C6" s="7" t="inlineStr">
        <is>
          <t>0000-0100</t>
        </is>
      </c>
      <c r="D6" s="8" t="n">
        <v>12</v>
      </c>
      <c r="E6" s="8" t="n">
        <v>0</v>
      </c>
      <c r="F6" s="8" t="n">
        <v>0</v>
      </c>
      <c r="G6" s="8" t="n">
        <v>71</v>
      </c>
      <c r="H6" s="9">
        <f>G6-J6</f>
        <v/>
      </c>
      <c r="I6" s="9">
        <f>D6+E6+F6</f>
        <v/>
      </c>
      <c r="J6" s="8" t="n">
        <v>9</v>
      </c>
      <c r="K6" s="9">
        <f>M6+N6+O6+P6</f>
        <v/>
      </c>
      <c r="L6" s="9">
        <f>N6+P6</f>
        <v/>
      </c>
      <c r="M6" s="8" t="n">
        <v>1</v>
      </c>
      <c r="N6" s="8" t="n">
        <v>0</v>
      </c>
      <c r="O6" s="8" t="n">
        <v>9</v>
      </c>
      <c r="P6" s="8" t="n">
        <v>0</v>
      </c>
      <c r="Q6" s="10" t="n">
        <v>0</v>
      </c>
      <c r="S6" s="11">
        <f>D6+F6</f>
        <v/>
      </c>
      <c r="T6" s="12">
        <f>C6</f>
        <v/>
      </c>
      <c r="U6" s="9">
        <f>D6+E6</f>
        <v/>
      </c>
      <c r="V6" s="9">
        <f>F6</f>
        <v/>
      </c>
      <c r="W6" s="9">
        <f>H6</f>
        <v/>
      </c>
      <c r="X6" s="9">
        <f>I6</f>
        <v/>
      </c>
    </row>
    <row r="7" ht="15.75" customHeight="1">
      <c r="B7" s="4" t="n"/>
      <c r="C7" s="7" t="inlineStr">
        <is>
          <t>0100-0200</t>
        </is>
      </c>
      <c r="D7" s="8" t="n">
        <v>13</v>
      </c>
      <c r="E7" s="8" t="n">
        <v>0</v>
      </c>
      <c r="F7" s="8" t="n">
        <v>0</v>
      </c>
      <c r="G7" s="8" t="n">
        <v>55</v>
      </c>
      <c r="H7" s="9">
        <f>G7-J7</f>
        <v/>
      </c>
      <c r="I7" s="9">
        <f>D7+E7+F7</f>
        <v/>
      </c>
      <c r="J7" s="8" t="n">
        <v>12</v>
      </c>
      <c r="K7" s="9">
        <f>M7+N7+O7+P7</f>
        <v/>
      </c>
      <c r="L7" s="9">
        <f>N7+P7</f>
        <v/>
      </c>
      <c r="M7" s="8" t="n">
        <v>2</v>
      </c>
      <c r="N7" s="8" t="n">
        <v>0</v>
      </c>
      <c r="O7" s="8" t="n">
        <v>10</v>
      </c>
      <c r="P7" s="8" t="n">
        <v>2</v>
      </c>
      <c r="Q7" s="10" t="n">
        <v>0</v>
      </c>
      <c r="S7" s="11">
        <f>D7+F7</f>
        <v/>
      </c>
      <c r="T7" s="12">
        <f>C7</f>
        <v/>
      </c>
      <c r="U7" s="9">
        <f>D7+E7</f>
        <v/>
      </c>
      <c r="V7" s="9">
        <f>F7</f>
        <v/>
      </c>
      <c r="W7" s="9">
        <f>H7</f>
        <v/>
      </c>
      <c r="X7" s="9">
        <f>I7</f>
        <v/>
      </c>
    </row>
    <row r="8" ht="15" customHeight="1">
      <c r="B8" s="4" t="n"/>
      <c r="C8" s="7" t="inlineStr">
        <is>
          <t>0200-0300</t>
        </is>
      </c>
      <c r="D8" s="8" t="n">
        <v>20</v>
      </c>
      <c r="E8" s="8" t="n">
        <v>0</v>
      </c>
      <c r="F8" s="8" t="n">
        <v>0</v>
      </c>
      <c r="G8" s="8" t="n">
        <v>72</v>
      </c>
      <c r="H8" s="9">
        <f>G8-J8</f>
        <v/>
      </c>
      <c r="I8" s="9">
        <f>D8+E8+F8</f>
        <v/>
      </c>
      <c r="J8" s="8" t="n">
        <v>17</v>
      </c>
      <c r="K8" s="9">
        <f>M8+N8+O8+P8</f>
        <v/>
      </c>
      <c r="L8" s="9">
        <f>N8+P8</f>
        <v/>
      </c>
      <c r="M8" s="8" t="n">
        <v>3</v>
      </c>
      <c r="N8" s="8" t="n">
        <v>0</v>
      </c>
      <c r="O8" s="8" t="n">
        <v>14</v>
      </c>
      <c r="P8" s="8" t="n">
        <v>1</v>
      </c>
      <c r="Q8" s="10" t="n">
        <v>0</v>
      </c>
      <c r="S8" s="11">
        <f>D8+F8</f>
        <v/>
      </c>
      <c r="T8" s="12">
        <f>C8</f>
        <v/>
      </c>
      <c r="U8" s="9">
        <f>D8+E8</f>
        <v/>
      </c>
      <c r="V8" s="9">
        <f>F8</f>
        <v/>
      </c>
      <c r="W8" s="9">
        <f>H8</f>
        <v/>
      </c>
      <c r="X8" s="9">
        <f>I8</f>
        <v/>
      </c>
    </row>
    <row r="9" ht="15" customHeight="1">
      <c r="B9" s="4" t="n"/>
      <c r="C9" s="7" t="inlineStr">
        <is>
          <t>0300-0400</t>
        </is>
      </c>
      <c r="D9" s="8" t="n">
        <v>11</v>
      </c>
      <c r="E9" s="8" t="n">
        <v>0</v>
      </c>
      <c r="F9" s="8" t="n">
        <v>0</v>
      </c>
      <c r="G9" s="8" t="n">
        <v>58</v>
      </c>
      <c r="H9" s="9">
        <f>G9-J9</f>
        <v/>
      </c>
      <c r="I9" s="9">
        <f>D9+E9+F9</f>
        <v/>
      </c>
      <c r="J9" s="8" t="n">
        <v>9</v>
      </c>
      <c r="K9" s="9">
        <f>M9+N9+O9+P9</f>
        <v/>
      </c>
      <c r="L9" s="9">
        <f>N9+P9</f>
        <v/>
      </c>
      <c r="M9" s="8" t="n">
        <v>3</v>
      </c>
      <c r="N9" s="8" t="n">
        <v>0</v>
      </c>
      <c r="O9" s="8" t="n">
        <v>5</v>
      </c>
      <c r="P9" s="8" t="n">
        <v>0</v>
      </c>
      <c r="Q9" s="10" t="n">
        <v>0</v>
      </c>
      <c r="S9" s="11">
        <f>D9+F9</f>
        <v/>
      </c>
      <c r="T9" s="12">
        <f>C9</f>
        <v/>
      </c>
      <c r="U9" s="9">
        <f>D9+E9</f>
        <v/>
      </c>
      <c r="V9" s="9">
        <f>F9</f>
        <v/>
      </c>
      <c r="W9" s="9">
        <f>H9</f>
        <v/>
      </c>
      <c r="X9" s="9">
        <f>I9</f>
        <v/>
      </c>
    </row>
    <row r="10" ht="15" customHeight="1">
      <c r="B10" s="4" t="n"/>
      <c r="C10" s="7" t="inlineStr">
        <is>
          <t>0400-0500</t>
        </is>
      </c>
      <c r="D10" s="8" t="n">
        <v>32</v>
      </c>
      <c r="E10" s="8" t="n">
        <v>0</v>
      </c>
      <c r="F10" s="8" t="n">
        <v>0</v>
      </c>
      <c r="G10" s="8" t="n">
        <v>109</v>
      </c>
      <c r="H10" s="9">
        <f>G10-J10</f>
        <v/>
      </c>
      <c r="I10" s="9">
        <f>D10+E10+F10</f>
        <v/>
      </c>
      <c r="J10" s="8" t="n">
        <v>26</v>
      </c>
      <c r="K10" s="9">
        <f>M10+N10+O10+P10</f>
        <v/>
      </c>
      <c r="L10" s="9">
        <f>N10+P10</f>
        <v/>
      </c>
      <c r="M10" s="8" t="n">
        <v>2</v>
      </c>
      <c r="N10" s="8" t="n">
        <v>0</v>
      </c>
      <c r="O10" s="8" t="n">
        <v>27</v>
      </c>
      <c r="P10" s="8" t="n">
        <v>0</v>
      </c>
      <c r="Q10" s="10" t="n">
        <v>0</v>
      </c>
      <c r="S10" s="11">
        <f>D10+F10</f>
        <v/>
      </c>
      <c r="T10" s="12">
        <f>C10</f>
        <v/>
      </c>
      <c r="U10" s="9">
        <f>D10+E10</f>
        <v/>
      </c>
      <c r="V10" s="9">
        <f>F10</f>
        <v/>
      </c>
      <c r="W10" s="9">
        <f>H10</f>
        <v/>
      </c>
      <c r="X10" s="9">
        <f>I10</f>
        <v/>
      </c>
    </row>
    <row r="11" ht="15" customHeight="1">
      <c r="B11" s="4" t="n"/>
      <c r="C11" s="7" t="inlineStr">
        <is>
          <t>0500-0600</t>
        </is>
      </c>
      <c r="D11" s="8" t="n">
        <v>29</v>
      </c>
      <c r="E11" s="8" t="n">
        <v>0</v>
      </c>
      <c r="F11" s="8" t="n">
        <v>1</v>
      </c>
      <c r="G11" s="8" t="n">
        <v>143</v>
      </c>
      <c r="H11" s="9">
        <f>G11-J11</f>
        <v/>
      </c>
      <c r="I11" s="9">
        <f>D11+E11+F11</f>
        <v/>
      </c>
      <c r="J11" s="8" t="n">
        <v>24</v>
      </c>
      <c r="K11" s="9">
        <f>M11+N11+O11+P11</f>
        <v/>
      </c>
      <c r="L11" s="9">
        <f>N11+P11</f>
        <v/>
      </c>
      <c r="M11" s="8" t="n">
        <v>7</v>
      </c>
      <c r="N11" s="8" t="n">
        <v>0</v>
      </c>
      <c r="O11" s="8" t="n">
        <v>18</v>
      </c>
      <c r="P11" s="8" t="n">
        <v>1</v>
      </c>
      <c r="Q11" s="10" t="n">
        <v>0</v>
      </c>
      <c r="S11" s="11">
        <f>D11+F11</f>
        <v/>
      </c>
      <c r="T11" s="12">
        <f>C11</f>
        <v/>
      </c>
      <c r="U11" s="9">
        <f>D11+E11</f>
        <v/>
      </c>
      <c r="V11" s="9">
        <f>F11</f>
        <v/>
      </c>
      <c r="W11" s="9">
        <f>H11</f>
        <v/>
      </c>
      <c r="X11" s="9">
        <f>I11</f>
        <v/>
      </c>
    </row>
    <row r="12" ht="15" customHeight="1">
      <c r="B12" s="4" t="n"/>
      <c r="C12" s="7" t="inlineStr">
        <is>
          <t>0600-0700</t>
        </is>
      </c>
      <c r="D12" s="8" t="n">
        <v>29</v>
      </c>
      <c r="E12" s="8" t="n">
        <v>0</v>
      </c>
      <c r="F12" s="8" t="n">
        <v>0</v>
      </c>
      <c r="G12" s="8" t="n">
        <v>135</v>
      </c>
      <c r="H12" s="9">
        <f>G12-J12</f>
        <v/>
      </c>
      <c r="I12" s="9">
        <f>D12+E12+F12</f>
        <v/>
      </c>
      <c r="J12" s="8" t="n">
        <v>30</v>
      </c>
      <c r="K12" s="9">
        <f>M12+N12+O12+P12</f>
        <v/>
      </c>
      <c r="L12" s="9">
        <f>N12+P12</f>
        <v/>
      </c>
      <c r="M12" s="8" t="n">
        <v>7</v>
      </c>
      <c r="N12" s="8" t="n">
        <v>0</v>
      </c>
      <c r="O12" s="8" t="n">
        <v>24</v>
      </c>
      <c r="P12" s="8" t="n">
        <v>1</v>
      </c>
      <c r="Q12" s="10" t="n">
        <v>1</v>
      </c>
      <c r="S12" s="11">
        <f>D12+F12</f>
        <v/>
      </c>
      <c r="T12" s="12">
        <f>C12</f>
        <v/>
      </c>
      <c r="U12" s="9">
        <f>D12+E12</f>
        <v/>
      </c>
      <c r="V12" s="9">
        <f>F12</f>
        <v/>
      </c>
      <c r="W12" s="9">
        <f>H12</f>
        <v/>
      </c>
      <c r="X12" s="9">
        <f>I12</f>
        <v/>
      </c>
    </row>
    <row r="13" ht="15" customHeight="1">
      <c r="B13" s="4" t="n"/>
      <c r="C13" s="7" t="inlineStr">
        <is>
          <t>0700-0800</t>
        </is>
      </c>
      <c r="D13" s="8" t="n">
        <v>26</v>
      </c>
      <c r="E13" s="8" t="n">
        <v>0</v>
      </c>
      <c r="F13" s="8" t="n">
        <v>0</v>
      </c>
      <c r="G13" s="8" t="n">
        <v>132</v>
      </c>
      <c r="H13" s="9">
        <f>G13-J13</f>
        <v/>
      </c>
      <c r="I13" s="9">
        <f>D13+E13+F13</f>
        <v/>
      </c>
      <c r="J13" s="8" t="n">
        <v>23</v>
      </c>
      <c r="K13" s="9">
        <f>M13+N13+O13+P13</f>
        <v/>
      </c>
      <c r="L13" s="9">
        <f>N13+P13</f>
        <v/>
      </c>
      <c r="M13" s="8" t="n">
        <v>8</v>
      </c>
      <c r="N13" s="8" t="n">
        <v>1</v>
      </c>
      <c r="O13" s="8" t="n">
        <v>13</v>
      </c>
      <c r="P13" s="8" t="n">
        <v>0</v>
      </c>
      <c r="Q13" s="10" t="n">
        <v>3</v>
      </c>
      <c r="S13" s="11">
        <f>D13+F13</f>
        <v/>
      </c>
      <c r="T13" s="12">
        <f>C13</f>
        <v/>
      </c>
      <c r="U13" s="9">
        <f>D13+E13</f>
        <v/>
      </c>
      <c r="V13" s="9">
        <f>F13</f>
        <v/>
      </c>
      <c r="W13" s="9">
        <f>H13</f>
        <v/>
      </c>
      <c r="X13" s="9">
        <f>I13</f>
        <v/>
      </c>
    </row>
    <row r="14" ht="15" customHeight="1">
      <c r="B14" s="4" t="n"/>
      <c r="C14" s="7" t="inlineStr">
        <is>
          <t>0800-0900</t>
        </is>
      </c>
      <c r="D14" s="8" t="n">
        <v>18</v>
      </c>
      <c r="E14" s="8" t="n">
        <v>0</v>
      </c>
      <c r="F14" s="8" t="n">
        <v>0</v>
      </c>
      <c r="G14" s="8" t="n">
        <v>121</v>
      </c>
      <c r="H14" s="9">
        <f>G14-J14</f>
        <v/>
      </c>
      <c r="I14" s="9">
        <f>D14+E14+F14</f>
        <v/>
      </c>
      <c r="J14" s="8" t="n">
        <v>18</v>
      </c>
      <c r="K14" s="9">
        <f>M14+N14+O14+P14</f>
        <v/>
      </c>
      <c r="L14" s="9">
        <f>N14+P14</f>
        <v/>
      </c>
      <c r="M14" s="8" t="n">
        <v>2</v>
      </c>
      <c r="N14" s="8" t="n">
        <v>0</v>
      </c>
      <c r="O14" s="8" t="n">
        <v>9</v>
      </c>
      <c r="P14" s="8" t="n">
        <v>2</v>
      </c>
      <c r="Q14" s="10" t="n">
        <v>4</v>
      </c>
      <c r="S14" s="11">
        <f>D14+F14</f>
        <v/>
      </c>
      <c r="T14" s="12">
        <f>C14</f>
        <v/>
      </c>
      <c r="U14" s="9">
        <f>D14+E14</f>
        <v/>
      </c>
      <c r="V14" s="9">
        <f>F14</f>
        <v/>
      </c>
      <c r="W14" s="9">
        <f>H14</f>
        <v/>
      </c>
      <c r="X14" s="9">
        <f>I14</f>
        <v/>
      </c>
    </row>
    <row r="15" ht="15" customHeight="1">
      <c r="B15" s="4" t="n"/>
      <c r="C15" s="7" t="inlineStr">
        <is>
          <t>0900-1000</t>
        </is>
      </c>
      <c r="D15" s="8" t="n">
        <v>36</v>
      </c>
      <c r="E15" s="8" t="n">
        <v>0</v>
      </c>
      <c r="F15" s="8" t="n">
        <v>0</v>
      </c>
      <c r="G15" s="8" t="n">
        <v>175</v>
      </c>
      <c r="H15" s="9">
        <f>G15-J15</f>
        <v/>
      </c>
      <c r="I15" s="9">
        <f>D15+E15+F15</f>
        <v/>
      </c>
      <c r="J15" s="8" t="n">
        <v>33</v>
      </c>
      <c r="K15" s="9">
        <f>M15+N15+O15+P15</f>
        <v/>
      </c>
      <c r="L15" s="9">
        <f>N15+P15</f>
        <v/>
      </c>
      <c r="M15" s="8" t="n">
        <v>8</v>
      </c>
      <c r="N15" s="8" t="n">
        <v>1</v>
      </c>
      <c r="O15" s="8" t="n">
        <v>23</v>
      </c>
      <c r="P15" s="8" t="n">
        <v>0</v>
      </c>
      <c r="Q15" s="10" t="n">
        <v>1</v>
      </c>
      <c r="S15" s="11">
        <f>D15+F15</f>
        <v/>
      </c>
      <c r="T15" s="12">
        <f>C15</f>
        <v/>
      </c>
      <c r="U15" s="9">
        <f>D15+E15</f>
        <v/>
      </c>
      <c r="V15" s="9">
        <f>F15</f>
        <v/>
      </c>
      <c r="W15" s="9">
        <f>H15</f>
        <v/>
      </c>
      <c r="X15" s="9">
        <f>I15</f>
        <v/>
      </c>
    </row>
    <row r="16" ht="15" customHeight="1">
      <c r="B16" s="4" t="n"/>
      <c r="C16" s="7" t="inlineStr">
        <is>
          <t>1000-1100</t>
        </is>
      </c>
      <c r="D16" s="8" t="n">
        <v>41</v>
      </c>
      <c r="E16" s="8" t="n">
        <v>0</v>
      </c>
      <c r="F16" s="8" t="n">
        <v>0</v>
      </c>
      <c r="G16" s="8" t="n">
        <v>184</v>
      </c>
      <c r="H16" s="9">
        <f>G16-J16</f>
        <v/>
      </c>
      <c r="I16" s="9">
        <f>D16+E16+F16</f>
        <v/>
      </c>
      <c r="J16" s="8" t="n">
        <v>35</v>
      </c>
      <c r="K16" s="9">
        <f>M16+N16+O16+P16</f>
        <v/>
      </c>
      <c r="L16" s="9">
        <f>N16+P16</f>
        <v/>
      </c>
      <c r="M16" s="8" t="n">
        <v>6</v>
      </c>
      <c r="N16" s="8" t="n">
        <v>0</v>
      </c>
      <c r="O16" s="8" t="n">
        <v>29</v>
      </c>
      <c r="P16" s="8" t="n">
        <v>1</v>
      </c>
      <c r="Q16" s="10" t="n">
        <v>1</v>
      </c>
      <c r="S16" s="11">
        <f>D16+F16</f>
        <v/>
      </c>
      <c r="T16" s="12">
        <f>C16</f>
        <v/>
      </c>
      <c r="U16" s="9">
        <f>D16+E16</f>
        <v/>
      </c>
      <c r="V16" s="9">
        <f>F16</f>
        <v/>
      </c>
      <c r="W16" s="9">
        <f>H16</f>
        <v/>
      </c>
      <c r="X16" s="9">
        <f>I16</f>
        <v/>
      </c>
    </row>
    <row r="17" ht="15" customHeight="1">
      <c r="B17" s="4" t="n"/>
      <c r="C17" s="7" t="inlineStr">
        <is>
          <t>1100-1200</t>
        </is>
      </c>
      <c r="D17" s="8" t="n">
        <v>36</v>
      </c>
      <c r="E17" s="8" t="n">
        <v>0</v>
      </c>
      <c r="F17" s="8" t="n">
        <v>0</v>
      </c>
      <c r="G17" s="8" t="n">
        <v>215</v>
      </c>
      <c r="H17" s="9">
        <f>G17-J17</f>
        <v/>
      </c>
      <c r="I17" s="9">
        <f>D17+E17+F17</f>
        <v/>
      </c>
      <c r="J17" s="8" t="n">
        <v>29</v>
      </c>
      <c r="K17" s="9">
        <f>M17+N17+O17+P17</f>
        <v/>
      </c>
      <c r="L17" s="9">
        <f>N17+P17</f>
        <v/>
      </c>
      <c r="M17" s="8" t="n">
        <v>5</v>
      </c>
      <c r="N17" s="8" t="n">
        <v>0</v>
      </c>
      <c r="O17" s="8" t="n">
        <v>24</v>
      </c>
      <c r="P17" s="8" t="n">
        <v>2</v>
      </c>
      <c r="Q17" s="10" t="n">
        <v>2</v>
      </c>
      <c r="S17" s="11">
        <f>D17+F17</f>
        <v/>
      </c>
      <c r="T17" s="12">
        <f>C17</f>
        <v/>
      </c>
      <c r="U17" s="9">
        <f>D17+E17</f>
        <v/>
      </c>
      <c r="V17" s="9">
        <f>F17</f>
        <v/>
      </c>
      <c r="W17" s="9">
        <f>H17</f>
        <v/>
      </c>
      <c r="X17" s="9">
        <f>I17</f>
        <v/>
      </c>
    </row>
    <row r="18" ht="15" customHeight="1">
      <c r="B18" s="4" t="n"/>
      <c r="C18" s="7" t="inlineStr">
        <is>
          <t>1200-1300</t>
        </is>
      </c>
      <c r="D18" s="8" t="n">
        <v>56</v>
      </c>
      <c r="E18" s="8" t="n">
        <v>0</v>
      </c>
      <c r="F18" s="8" t="n">
        <v>0</v>
      </c>
      <c r="G18" s="8" t="n">
        <v>242</v>
      </c>
      <c r="H18" s="9">
        <f>G18-J18</f>
        <v/>
      </c>
      <c r="I18" s="9">
        <f>D18+E18+F18</f>
        <v/>
      </c>
      <c r="J18" s="8" t="n">
        <v>47</v>
      </c>
      <c r="K18" s="9">
        <f>M18+N18+O18+P18</f>
        <v/>
      </c>
      <c r="L18" s="9">
        <f>N18+P18</f>
        <v/>
      </c>
      <c r="M18" s="8" t="n">
        <v>12</v>
      </c>
      <c r="N18" s="8" t="n">
        <v>0</v>
      </c>
      <c r="O18" s="8" t="n">
        <v>38</v>
      </c>
      <c r="P18" s="8" t="n">
        <v>1</v>
      </c>
      <c r="Q18" s="10" t="n">
        <v>1</v>
      </c>
      <c r="S18" s="11">
        <f>D18+F18</f>
        <v/>
      </c>
      <c r="T18" s="12">
        <f>C18</f>
        <v/>
      </c>
      <c r="U18" s="9">
        <f>D18+E18</f>
        <v/>
      </c>
      <c r="V18" s="9">
        <f>F18</f>
        <v/>
      </c>
      <c r="W18" s="9">
        <f>H18</f>
        <v/>
      </c>
      <c r="X18" s="9">
        <f>I18</f>
        <v/>
      </c>
    </row>
    <row r="19" ht="15" customHeight="1">
      <c r="B19" s="4" t="n"/>
      <c r="C19" s="7" t="inlineStr">
        <is>
          <t>1300-1400</t>
        </is>
      </c>
      <c r="D19" s="8" t="n">
        <v>54</v>
      </c>
      <c r="E19" s="8" t="n">
        <v>0</v>
      </c>
      <c r="F19" s="8" t="n">
        <v>0</v>
      </c>
      <c r="G19" s="8" t="n">
        <v>274</v>
      </c>
      <c r="H19" s="9">
        <f>G19-J19</f>
        <v/>
      </c>
      <c r="I19" s="9">
        <f>D19+E19+F19</f>
        <v/>
      </c>
      <c r="J19" s="8" t="n">
        <v>49</v>
      </c>
      <c r="K19" s="9">
        <f>M19+N19+O19+P19</f>
        <v/>
      </c>
      <c r="L19" s="9">
        <f>N19+P19</f>
        <v/>
      </c>
      <c r="M19" s="8" t="n">
        <v>13</v>
      </c>
      <c r="N19" s="8" t="n">
        <v>0</v>
      </c>
      <c r="O19" s="8" t="n">
        <v>31</v>
      </c>
      <c r="P19" s="8" t="n">
        <v>5</v>
      </c>
      <c r="Q19" s="10" t="n">
        <v>1</v>
      </c>
      <c r="S19" s="11">
        <f>D19+F19</f>
        <v/>
      </c>
      <c r="T19" s="12">
        <f>C19</f>
        <v/>
      </c>
      <c r="U19" s="9">
        <f>D19+E19</f>
        <v/>
      </c>
      <c r="V19" s="9">
        <f>F19</f>
        <v/>
      </c>
      <c r="W19" s="9">
        <f>H19</f>
        <v/>
      </c>
      <c r="X19" s="9">
        <f>I19</f>
        <v/>
      </c>
    </row>
    <row r="20" ht="15" customHeight="1">
      <c r="B20" s="4" t="n"/>
      <c r="C20" s="7" t="inlineStr">
        <is>
          <t>1400-1500</t>
        </is>
      </c>
      <c r="D20" s="8" t="n">
        <v>57</v>
      </c>
      <c r="E20" s="8" t="n">
        <v>0</v>
      </c>
      <c r="F20" s="8" t="n">
        <v>0</v>
      </c>
      <c r="G20" s="8" t="n">
        <v>274</v>
      </c>
      <c r="H20" s="9">
        <f>G20-J20</f>
        <v/>
      </c>
      <c r="I20" s="9">
        <f>D20+E20+F20</f>
        <v/>
      </c>
      <c r="J20" s="8" t="n">
        <v>48</v>
      </c>
      <c r="K20" s="9">
        <f>M20+N20+O20+P20</f>
        <v/>
      </c>
      <c r="L20" s="9">
        <f>N20+P20</f>
        <v/>
      </c>
      <c r="M20" s="8" t="n">
        <v>6</v>
      </c>
      <c r="N20" s="8" t="n">
        <v>0</v>
      </c>
      <c r="O20" s="8" t="n">
        <v>40</v>
      </c>
      <c r="P20" s="8" t="n">
        <v>1</v>
      </c>
      <c r="Q20" s="10" t="n">
        <v>1</v>
      </c>
      <c r="S20" s="11">
        <f>D20+F20</f>
        <v/>
      </c>
      <c r="T20" s="12">
        <f>C20</f>
        <v/>
      </c>
      <c r="U20" s="9">
        <f>D20+E20</f>
        <v/>
      </c>
      <c r="V20" s="9">
        <f>F20</f>
        <v/>
      </c>
      <c r="W20" s="9">
        <f>H20</f>
        <v/>
      </c>
      <c r="X20" s="9">
        <f>I20</f>
        <v/>
      </c>
    </row>
    <row r="21" ht="15" customHeight="1">
      <c r="B21" s="4" t="n"/>
      <c r="C21" s="7" t="inlineStr">
        <is>
          <t>1500-1600</t>
        </is>
      </c>
      <c r="D21" s="8" t="n">
        <v>54</v>
      </c>
      <c r="E21" s="8" t="n">
        <v>0</v>
      </c>
      <c r="F21" s="8" t="n">
        <v>0</v>
      </c>
      <c r="G21" s="8" t="n">
        <v>324</v>
      </c>
      <c r="H21" s="9">
        <f>G21-J21</f>
        <v/>
      </c>
      <c r="I21" s="9">
        <f>D21+E21+F21</f>
        <v/>
      </c>
      <c r="J21" s="8" t="n">
        <v>52</v>
      </c>
      <c r="K21" s="9">
        <f>M21+N21+O21+P21</f>
        <v/>
      </c>
      <c r="L21" s="9">
        <f>N21+P21</f>
        <v/>
      </c>
      <c r="M21" s="8" t="n">
        <v>4</v>
      </c>
      <c r="N21" s="8" t="n">
        <v>0</v>
      </c>
      <c r="O21" s="8" t="n">
        <v>40</v>
      </c>
      <c r="P21" s="8" t="n">
        <v>2</v>
      </c>
      <c r="Q21" s="10" t="n">
        <v>1</v>
      </c>
      <c r="S21" s="11">
        <f>D21+F21</f>
        <v/>
      </c>
      <c r="T21" s="12">
        <f>C21</f>
        <v/>
      </c>
      <c r="U21" s="9">
        <f>D21+E21</f>
        <v/>
      </c>
      <c r="V21" s="9">
        <f>F21</f>
        <v/>
      </c>
      <c r="W21" s="9">
        <f>H21</f>
        <v/>
      </c>
      <c r="X21" s="9">
        <f>I21</f>
        <v/>
      </c>
    </row>
    <row r="22" ht="15" customHeight="1">
      <c r="B22" s="4" t="n"/>
      <c r="C22" s="7" t="inlineStr">
        <is>
          <t>1600-1700</t>
        </is>
      </c>
      <c r="D22" s="8" t="n">
        <v>50</v>
      </c>
      <c r="E22" s="8" t="n">
        <v>0</v>
      </c>
      <c r="F22" s="8" t="n">
        <v>1</v>
      </c>
      <c r="G22" s="8" t="n">
        <v>282</v>
      </c>
      <c r="H22" s="9">
        <f>G22-J22</f>
        <v/>
      </c>
      <c r="I22" s="9">
        <f>D22+E22+F22</f>
        <v/>
      </c>
      <c r="J22" s="8" t="n">
        <v>42</v>
      </c>
      <c r="K22" s="9">
        <f>M22+N22+O22+P22</f>
        <v/>
      </c>
      <c r="L22" s="9">
        <f>N22+P22</f>
        <v/>
      </c>
      <c r="M22" s="8" t="n">
        <v>9</v>
      </c>
      <c r="N22" s="8" t="n">
        <v>0</v>
      </c>
      <c r="O22" s="8" t="n">
        <v>34</v>
      </c>
      <c r="P22" s="8" t="n">
        <v>4</v>
      </c>
      <c r="Q22" s="10" t="n">
        <v>2</v>
      </c>
      <c r="S22" s="11">
        <f>D22+F22</f>
        <v/>
      </c>
      <c r="T22" s="12">
        <f>C22</f>
        <v/>
      </c>
      <c r="U22" s="9">
        <f>D22+E22</f>
        <v/>
      </c>
      <c r="V22" s="9">
        <f>F22</f>
        <v/>
      </c>
      <c r="W22" s="9">
        <f>H22</f>
        <v/>
      </c>
      <c r="X22" s="9">
        <f>I22</f>
        <v/>
      </c>
    </row>
    <row r="23" ht="15" customHeight="1">
      <c r="B23" s="4" t="n"/>
      <c r="C23" s="7" t="inlineStr">
        <is>
          <t>1700-1800</t>
        </is>
      </c>
      <c r="D23" s="8" t="n">
        <v>40</v>
      </c>
      <c r="E23" s="8" t="n">
        <v>0</v>
      </c>
      <c r="F23" s="8" t="n">
        <v>0</v>
      </c>
      <c r="G23" s="8" t="n">
        <v>291</v>
      </c>
      <c r="H23" s="9">
        <f>G23-J23</f>
        <v/>
      </c>
      <c r="I23" s="9">
        <f>D23+E23+F23</f>
        <v/>
      </c>
      <c r="J23" s="8" t="n">
        <v>34</v>
      </c>
      <c r="K23" s="9">
        <f>M23+N23+O23+P23</f>
        <v/>
      </c>
      <c r="L23" s="9">
        <f>N23+P23</f>
        <v/>
      </c>
      <c r="M23" s="8" t="n">
        <v>1</v>
      </c>
      <c r="N23" s="8" t="n">
        <v>0</v>
      </c>
      <c r="O23" s="8" t="n">
        <v>33</v>
      </c>
      <c r="P23" s="8" t="n">
        <v>3</v>
      </c>
      <c r="Q23" s="10" t="n">
        <v>4</v>
      </c>
      <c r="S23" s="11">
        <f>D23+F23</f>
        <v/>
      </c>
      <c r="T23" s="12">
        <f>C23</f>
        <v/>
      </c>
      <c r="U23" s="9">
        <f>D23+E23</f>
        <v/>
      </c>
      <c r="V23" s="9">
        <f>F23</f>
        <v/>
      </c>
      <c r="W23" s="9">
        <f>H23</f>
        <v/>
      </c>
      <c r="X23" s="9">
        <f>I23</f>
        <v/>
      </c>
    </row>
    <row r="24" ht="15" customHeight="1">
      <c r="B24" s="4" t="n"/>
      <c r="C24" s="7" t="inlineStr">
        <is>
          <t>1800-1900</t>
        </is>
      </c>
      <c r="D24" s="8" t="n">
        <v>32</v>
      </c>
      <c r="E24" s="8" t="n">
        <v>0</v>
      </c>
      <c r="F24" s="8" t="n">
        <v>0</v>
      </c>
      <c r="G24" s="8" t="n">
        <v>255</v>
      </c>
      <c r="H24" s="9">
        <f>G24-J24</f>
        <v/>
      </c>
      <c r="I24" s="9">
        <f>D24+E24+F24</f>
        <v/>
      </c>
      <c r="J24" s="8" t="n">
        <v>31</v>
      </c>
      <c r="K24" s="9">
        <f>M24+N24+O24+P24</f>
        <v/>
      </c>
      <c r="L24" s="9">
        <f>N24+P24</f>
        <v/>
      </c>
      <c r="M24" s="8" t="n">
        <v>6</v>
      </c>
      <c r="N24" s="8" t="n">
        <v>1</v>
      </c>
      <c r="O24" s="8" t="n">
        <v>21</v>
      </c>
      <c r="P24" s="8" t="n">
        <v>1</v>
      </c>
      <c r="Q24" s="10" t="n">
        <v>0</v>
      </c>
      <c r="S24" s="11">
        <f>D24+F24</f>
        <v/>
      </c>
      <c r="T24" s="12">
        <f>C24</f>
        <v/>
      </c>
      <c r="U24" s="9">
        <f>D24+E24</f>
        <v/>
      </c>
      <c r="V24" s="9">
        <f>F24</f>
        <v/>
      </c>
      <c r="W24" s="9">
        <f>H24</f>
        <v/>
      </c>
      <c r="X24" s="9">
        <f>I24</f>
        <v/>
      </c>
    </row>
    <row r="25" ht="15" customHeight="1">
      <c r="B25" s="4" t="n"/>
      <c r="C25" s="7" t="inlineStr">
        <is>
          <t>1900-2000</t>
        </is>
      </c>
      <c r="D25" s="8" t="n">
        <v>38</v>
      </c>
      <c r="E25" s="8" t="n">
        <v>0</v>
      </c>
      <c r="F25" s="8" t="n">
        <v>0</v>
      </c>
      <c r="G25" s="8" t="n">
        <v>203</v>
      </c>
      <c r="H25" s="9">
        <f>G25-J25</f>
        <v/>
      </c>
      <c r="I25" s="9">
        <f>D25+E25+F25</f>
        <v/>
      </c>
      <c r="J25" s="8" t="n">
        <v>30</v>
      </c>
      <c r="K25" s="9">
        <f>M25+N25+O25+P25</f>
        <v/>
      </c>
      <c r="L25" s="9">
        <f>N25+P25</f>
        <v/>
      </c>
      <c r="M25" s="8" t="n">
        <v>5</v>
      </c>
      <c r="N25" s="8" t="n">
        <v>1</v>
      </c>
      <c r="O25" s="8" t="n">
        <v>16</v>
      </c>
      <c r="P25" s="8" t="n">
        <v>3</v>
      </c>
      <c r="Q25" s="10" t="n">
        <v>0</v>
      </c>
      <c r="S25" s="11">
        <f>D25+F25</f>
        <v/>
      </c>
      <c r="T25" s="12">
        <f>C25</f>
        <v/>
      </c>
      <c r="U25" s="9">
        <f>D25+E25</f>
        <v/>
      </c>
      <c r="V25" s="9">
        <f>F25</f>
        <v/>
      </c>
      <c r="W25" s="9">
        <f>H25</f>
        <v/>
      </c>
      <c r="X25" s="9">
        <f>I25</f>
        <v/>
      </c>
    </row>
    <row r="26" ht="15" customHeight="1">
      <c r="B26" s="4" t="n"/>
      <c r="C26" s="7" t="inlineStr">
        <is>
          <t>2000-2100</t>
        </is>
      </c>
      <c r="D26" s="8" t="n">
        <v>32</v>
      </c>
      <c r="E26" s="8" t="n">
        <v>0</v>
      </c>
      <c r="F26" s="8" t="n">
        <v>0</v>
      </c>
      <c r="G26" s="8" t="n">
        <v>199</v>
      </c>
      <c r="H26" s="9">
        <f>G26-J26</f>
        <v/>
      </c>
      <c r="I26" s="9">
        <f>D26+E26+F26</f>
        <v/>
      </c>
      <c r="J26" s="8" t="n">
        <v>26</v>
      </c>
      <c r="K26" s="9">
        <f>M26+N26+O26+P26</f>
        <v/>
      </c>
      <c r="L26" s="9">
        <f>N26+P26</f>
        <v/>
      </c>
      <c r="M26" s="8" t="n">
        <v>3</v>
      </c>
      <c r="N26" s="8" t="n">
        <v>0</v>
      </c>
      <c r="O26" s="8" t="n">
        <v>27</v>
      </c>
      <c r="P26" s="8" t="n">
        <v>1</v>
      </c>
      <c r="Q26" s="10" t="n">
        <v>0</v>
      </c>
      <c r="S26" s="11">
        <f>D26+F26</f>
        <v/>
      </c>
      <c r="T26" s="12">
        <f>C26</f>
        <v/>
      </c>
      <c r="U26" s="9">
        <f>D26+E26</f>
        <v/>
      </c>
      <c r="V26" s="9">
        <f>F26</f>
        <v/>
      </c>
      <c r="W26" s="9">
        <f>H26</f>
        <v/>
      </c>
      <c r="X26" s="9">
        <f>I26</f>
        <v/>
      </c>
    </row>
    <row r="27" ht="15" customHeight="1">
      <c r="B27" s="4" t="n"/>
      <c r="C27" s="7" t="inlineStr">
        <is>
          <t>2100-2200</t>
        </is>
      </c>
      <c r="D27" s="8" t="n">
        <v>23</v>
      </c>
      <c r="E27" s="8" t="n">
        <v>0</v>
      </c>
      <c r="F27" s="8" t="n">
        <v>0</v>
      </c>
      <c r="G27" s="8" t="n">
        <v>156</v>
      </c>
      <c r="H27" s="9">
        <f>G27-J27</f>
        <v/>
      </c>
      <c r="I27" s="9">
        <f>D27+E27+F27</f>
        <v/>
      </c>
      <c r="J27" s="8" t="n">
        <v>19</v>
      </c>
      <c r="K27" s="9">
        <f>M27+N27+O27+P27</f>
        <v/>
      </c>
      <c r="L27" s="9">
        <f>N27+P27</f>
        <v/>
      </c>
      <c r="M27" s="8" t="n">
        <v>4</v>
      </c>
      <c r="N27" s="8" t="n">
        <v>0</v>
      </c>
      <c r="O27" s="8" t="n">
        <v>14</v>
      </c>
      <c r="P27" s="8" t="n">
        <v>2</v>
      </c>
      <c r="Q27" s="10" t="n">
        <v>0</v>
      </c>
      <c r="S27" s="11">
        <f>D27+F27</f>
        <v/>
      </c>
      <c r="T27" s="12">
        <f>C27</f>
        <v/>
      </c>
      <c r="U27" s="9">
        <f>D27+E27</f>
        <v/>
      </c>
      <c r="V27" s="9">
        <f>F27</f>
        <v/>
      </c>
      <c r="W27" s="9">
        <f>H27</f>
        <v/>
      </c>
      <c r="X27" s="9">
        <f>I27</f>
        <v/>
      </c>
    </row>
    <row r="28" ht="15" customHeight="1">
      <c r="B28" s="4" t="n"/>
      <c r="C28" s="7" t="inlineStr">
        <is>
          <t>2200-2300</t>
        </is>
      </c>
      <c r="D28" s="8" t="n">
        <v>16</v>
      </c>
      <c r="E28" s="8" t="n">
        <v>0</v>
      </c>
      <c r="F28" s="8" t="n">
        <v>0</v>
      </c>
      <c r="G28" s="8" t="n">
        <v>105</v>
      </c>
      <c r="H28" s="9">
        <f>G28-J28</f>
        <v/>
      </c>
      <c r="I28" s="9">
        <f>D28+E28+F28</f>
        <v/>
      </c>
      <c r="J28" s="8" t="n">
        <v>15</v>
      </c>
      <c r="K28" s="9">
        <f>M28+N28+O28+P28</f>
        <v/>
      </c>
      <c r="L28" s="9">
        <f>N28+P28</f>
        <v/>
      </c>
      <c r="M28" s="8" t="n">
        <v>5</v>
      </c>
      <c r="N28" s="8" t="n">
        <v>0</v>
      </c>
      <c r="O28" s="8" t="n">
        <v>11</v>
      </c>
      <c r="P28" s="8" t="n">
        <v>0</v>
      </c>
      <c r="Q28" s="10" t="n">
        <v>0</v>
      </c>
      <c r="S28" s="11">
        <f>D28+F28</f>
        <v/>
      </c>
      <c r="T28" s="12">
        <f>C28</f>
        <v/>
      </c>
      <c r="U28" s="9">
        <f>D28+E28</f>
        <v/>
      </c>
      <c r="V28" s="9">
        <f>F28</f>
        <v/>
      </c>
      <c r="W28" s="9">
        <f>H28</f>
        <v/>
      </c>
      <c r="X28" s="9">
        <f>I28</f>
        <v/>
      </c>
    </row>
    <row r="29" ht="15" customHeight="1">
      <c r="B29" s="5" t="n"/>
      <c r="C29" s="7" t="inlineStr">
        <is>
          <t>2300-0000</t>
        </is>
      </c>
      <c r="D29" s="8" t="n">
        <v>19</v>
      </c>
      <c r="E29" s="8" t="n">
        <v>0</v>
      </c>
      <c r="F29" s="8" t="n">
        <v>0</v>
      </c>
      <c r="G29" s="8" t="n">
        <v>114</v>
      </c>
      <c r="H29" s="9">
        <f>G29-J29</f>
        <v/>
      </c>
      <c r="I29" s="9">
        <f>D29+E29+F29</f>
        <v/>
      </c>
      <c r="J29" s="8" t="n">
        <v>18</v>
      </c>
      <c r="K29" s="9">
        <f>M29+N29+O29+P29</f>
        <v/>
      </c>
      <c r="L29" s="9">
        <f>N29+P29</f>
        <v/>
      </c>
      <c r="M29" s="8" t="n">
        <v>1</v>
      </c>
      <c r="N29" s="8" t="n">
        <v>0</v>
      </c>
      <c r="O29" s="8" t="n">
        <v>15</v>
      </c>
      <c r="P29" s="8" t="n">
        <v>1</v>
      </c>
      <c r="Q29" s="10" t="n">
        <v>0</v>
      </c>
      <c r="S29" s="11">
        <f>D29+F29</f>
        <v/>
      </c>
      <c r="T29" s="12">
        <f>C29</f>
        <v/>
      </c>
      <c r="U29" s="9">
        <f>D29+E29</f>
        <v/>
      </c>
      <c r="V29" s="9">
        <f>F29</f>
        <v/>
      </c>
      <c r="W29" s="9">
        <f>H29</f>
        <v/>
      </c>
      <c r="X29" s="9">
        <f>I29</f>
        <v/>
      </c>
    </row>
    <row r="30" ht="19.5" customHeight="1">
      <c r="B30" s="13" t="inlineStr">
        <is>
          <t>Total</t>
        </is>
      </c>
      <c r="C30" s="3" t="n"/>
      <c r="D30" s="14">
        <f>SUM(D6:D29)</f>
        <v/>
      </c>
      <c r="E30" s="14">
        <f>SUM(E6:E29)</f>
        <v/>
      </c>
      <c r="F30" s="14">
        <f>SUM(F6:F29)</f>
        <v/>
      </c>
      <c r="G30" s="14">
        <f>SUM(G6:G29)</f>
        <v/>
      </c>
      <c r="H30" s="14">
        <f>SUM(H6:H29)</f>
        <v/>
      </c>
      <c r="I30" s="14">
        <f>SUM(I6:I29)</f>
        <v/>
      </c>
      <c r="J30" s="14">
        <f>SUM(J6:J29)</f>
        <v/>
      </c>
      <c r="K30" s="14">
        <f>SUM(K6:K29)</f>
        <v/>
      </c>
      <c r="L30" s="14">
        <f>SUM(L6:L29)</f>
        <v/>
      </c>
      <c r="M30" s="14">
        <f>SUM(M6:M29)</f>
        <v/>
      </c>
      <c r="N30" s="14">
        <f>SUM(N6:N29)</f>
        <v/>
      </c>
      <c r="O30" s="14">
        <f>SUM(O6:O29)</f>
        <v/>
      </c>
      <c r="P30" s="14">
        <f>SUM(P6:P29)</f>
        <v/>
      </c>
      <c r="Q30" s="14">
        <f>SUM(Q6:Q29)</f>
        <v/>
      </c>
      <c r="T30" s="15" t="inlineStr">
        <is>
          <t>Total</t>
        </is>
      </c>
      <c r="U30" s="14">
        <f>SUM(U6:U29)</f>
        <v/>
      </c>
      <c r="V30" s="14">
        <f>SUM(V6:V29)</f>
        <v/>
      </c>
      <c r="W30" s="14">
        <f>SUM(W6:W29)</f>
        <v/>
      </c>
      <c r="X30" s="14">
        <f>SUM(X6:X29)</f>
        <v/>
      </c>
    </row>
    <row r="32" ht="15" customHeight="1"/>
    <row r="33" ht="45" customHeight="1">
      <c r="C33" s="1" t="inlineStr">
        <is>
          <t>Buses&gt;= 3500kg  (J)</t>
        </is>
      </c>
      <c r="D33" s="1" t="inlineStr">
        <is>
          <t>Vehicles&gt;= 3500kg but &lt;7000 excluding buses (V)</t>
        </is>
      </c>
      <c r="E33" s="1" t="inlineStr">
        <is>
          <t>Vehicles&gt;= 7000 excluding buses (W)</t>
        </is>
      </c>
      <c r="F33" s="1" t="inlineStr">
        <is>
          <t>Total Traffic Census (K)</t>
        </is>
      </c>
      <c r="G33" s="3" t="n"/>
    </row>
    <row r="34" ht="15" customHeight="1">
      <c r="C34" s="4" t="n"/>
      <c r="D34" s="4" t="n"/>
      <c r="E34" s="4" t="n"/>
      <c r="F34" s="1" t="inlineStr">
        <is>
          <t xml:space="preserve"> K=(J+V+W) </t>
        </is>
      </c>
      <c r="G34" s="16" t="n"/>
      <c r="H34" s="1" t="inlineStr">
        <is>
          <t>Exemption permits
(E)</t>
        </is>
      </c>
      <c r="I34" s="1" t="inlineStr">
        <is>
          <t>Total Weighed 
(X)</t>
        </is>
      </c>
      <c r="J34" s="1" t="inlineStr">
        <is>
          <t>Total Traffic
(T)= (Q+X+K+E)</t>
        </is>
      </c>
    </row>
    <row r="35" ht="19.5" customHeight="1">
      <c r="C35" s="5" t="n"/>
      <c r="D35" s="5" t="n"/>
      <c r="E35" s="5" t="n"/>
      <c r="F35" s="17" t="n"/>
      <c r="G35" s="18" t="n"/>
      <c r="H35" s="5" t="n"/>
      <c r="I35" s="5" t="n"/>
      <c r="J35" s="5" t="n"/>
    </row>
    <row r="36" ht="19.5" customHeight="1">
      <c r="C36" s="19" t="n">
        <v>1784</v>
      </c>
      <c r="D36" s="19" t="n">
        <v>36</v>
      </c>
      <c r="E36" s="19" t="n">
        <v>14</v>
      </c>
      <c r="F36" s="20">
        <f>C36+D36+E36</f>
        <v/>
      </c>
      <c r="G36" s="3" t="n"/>
      <c r="H36" s="19" t="n">
        <v>22</v>
      </c>
      <c r="I36" s="19" t="n">
        <v>776</v>
      </c>
      <c r="J36" s="20">
        <f>H30+I30+F36+H36</f>
        <v/>
      </c>
    </row>
    <row r="37" ht="15" customHeight="1"/>
    <row r="38" ht="67.5" customHeight="1">
      <c r="B38" s="1" t="inlineStr">
        <is>
          <t>HSWIM CLEARED (Q)</t>
        </is>
      </c>
      <c r="C38" s="1" t="inlineStr">
        <is>
          <t>Weighed Scale Total          (N)</t>
        </is>
      </c>
      <c r="D38" s="1" t="inlineStr">
        <is>
          <t>Manually Weighed (M)</t>
        </is>
      </c>
      <c r="E38" s="1" t="inlineStr">
        <is>
          <t>Total weighed (X)</t>
        </is>
      </c>
      <c r="F38" s="1" t="inlineStr">
        <is>
          <t>Total Traffic (T)</t>
        </is>
      </c>
      <c r="G38" s="3" t="n"/>
      <c r="H38" s="1" t="inlineStr">
        <is>
          <t>Total   Overload       (Y)            A+Z+G+R</t>
        </is>
      </c>
      <c r="I38" s="1" t="inlineStr">
        <is>
          <t xml:space="preserve"> Warned   (A)</t>
        </is>
      </c>
      <c r="J38" s="1" t="inlineStr">
        <is>
          <t>Charged in court (Z)</t>
        </is>
      </c>
      <c r="K38" s="1" t="inlineStr">
        <is>
          <t>Special release (G)</t>
        </is>
      </c>
      <c r="L38" s="1" t="inlineStr">
        <is>
          <t>Vehicles Charged but Redistributed (R)</t>
        </is>
      </c>
      <c r="M38" s="1" t="inlineStr">
        <is>
          <t>Impounded &amp;  prohibited                (P)= Z+R</t>
        </is>
      </c>
      <c r="N38" s="1" t="inlineStr">
        <is>
          <t>Cases cleared in court (B)</t>
        </is>
      </c>
      <c r="O38" s="1" t="inlineStr">
        <is>
          <t>Transgressions</t>
        </is>
      </c>
      <c r="P38" s="1" t="inlineStr">
        <is>
          <t>Exemption permits</t>
        </is>
      </c>
      <c r="Q38" s="2" t="n"/>
      <c r="R38" s="3" t="n"/>
    </row>
    <row r="39" ht="44.25" customHeight="1">
      <c r="B39" s="1" t="inlineStr">
        <is>
          <t>(Q=H-C)</t>
        </is>
      </c>
      <c r="C39" s="1" t="inlineStr">
        <is>
          <t>N=(D+S)</t>
        </is>
      </c>
      <c r="D39" s="1" t="inlineStr">
        <is>
          <t>(M)</t>
        </is>
      </c>
      <c r="E39" s="1" t="inlineStr">
        <is>
          <t>(X)=(S+M)</t>
        </is>
      </c>
      <c r="F39" s="1" t="inlineStr">
        <is>
          <t>(T)=(Q+X+K+E)</t>
        </is>
      </c>
      <c r="G39" s="3" t="n"/>
      <c r="H39" s="1" t="inlineStr">
        <is>
          <t>(Y)</t>
        </is>
      </c>
      <c r="I39" s="1" t="inlineStr">
        <is>
          <t>(A)</t>
        </is>
      </c>
      <c r="J39" s="1" t="inlineStr">
        <is>
          <t>(Z)</t>
        </is>
      </c>
      <c r="K39" s="1" t="inlineStr">
        <is>
          <t>(G)</t>
        </is>
      </c>
      <c r="L39" s="1" t="inlineStr">
        <is>
          <t>(R)</t>
        </is>
      </c>
      <c r="M39" s="1" t="inlineStr">
        <is>
          <t>(P)</t>
        </is>
      </c>
      <c r="N39" s="1" t="inlineStr">
        <is>
          <t>(B)</t>
        </is>
      </c>
      <c r="O39" s="1" t="inlineStr">
        <is>
          <t>(L)</t>
        </is>
      </c>
      <c r="P39" s="1" t="inlineStr">
        <is>
          <t>NOT weighed (E)</t>
        </is>
      </c>
      <c r="Q39" s="1" t="inlineStr">
        <is>
          <t>Weighed (F)</t>
        </is>
      </c>
      <c r="R39" s="1" t="inlineStr">
        <is>
          <t>Total</t>
        </is>
      </c>
    </row>
    <row r="40" ht="19.5" customHeight="1">
      <c r="B40" s="20" t="n">
        <v>3513</v>
      </c>
      <c r="C40" s="20" t="n">
        <v>774</v>
      </c>
      <c r="D40" s="20" t="n">
        <v>2</v>
      </c>
      <c r="E40" s="20" t="n">
        <v>776</v>
      </c>
      <c r="F40" s="20" t="n">
        <v>6145</v>
      </c>
      <c r="G40" s="3" t="n"/>
      <c r="H40" s="20" t="n">
        <v>686</v>
      </c>
      <c r="I40" s="20" t="n">
        <v>123</v>
      </c>
      <c r="J40" s="20" t="n">
        <v>4</v>
      </c>
      <c r="K40" s="20" t="n">
        <v>525</v>
      </c>
      <c r="L40" s="20" t="n">
        <v>34</v>
      </c>
      <c r="M40" s="20" t="n">
        <v>563</v>
      </c>
      <c r="N40" s="20" t="n">
        <v>1</v>
      </c>
      <c r="O40" s="20" t="n">
        <v>0</v>
      </c>
      <c r="P40" s="20" t="n">
        <v>22</v>
      </c>
      <c r="Q40" s="20" t="n">
        <v>435</v>
      </c>
      <c r="R40" s="20" t="n">
        <v>457</v>
      </c>
    </row>
    <row r="41" ht="15" customHeight="1"/>
    <row r="42" ht="15" customHeight="1"/>
    <row r="44" ht="15" customHeight="1"/>
    <row r="45" ht="36" customHeight="1">
      <c r="S45" s="21" t="inlineStr">
        <is>
          <t>Notes</t>
        </is>
      </c>
    </row>
    <row r="46" ht="15.75" customHeight="1">
      <c r="S46" s="21" t="inlineStr">
        <is>
          <t>yellow = data extracted from Kenload</t>
        </is>
      </c>
    </row>
    <row r="47" ht="15.75" customHeight="1">
      <c r="S47" s="21" t="inlineStr">
        <is>
          <t>red = formulae, do not edit</t>
        </is>
      </c>
    </row>
    <row r="48" ht="15.75" customHeight="1">
      <c r="S48" s="21" t="inlineStr">
        <is>
          <t>No fill = manual entries fill in from data collection forms/books</t>
        </is>
      </c>
    </row>
    <row r="49" ht="15" customHeight="1">
      <c r="S49" s="21" t="inlineStr">
        <is>
          <t>Data in the table is for illustration purposes ONLY</t>
        </is>
      </c>
    </row>
  </sheetData>
  <mergeCells count="44">
    <mergeCell ref="D2:I2"/>
    <mergeCell ref="M3:M5"/>
    <mergeCell ref="E4:E5"/>
    <mergeCell ref="J34:J35"/>
    <mergeCell ref="P3:P5"/>
    <mergeCell ref="W2:W4"/>
    <mergeCell ref="J3:J5"/>
    <mergeCell ref="D33:D35"/>
    <mergeCell ref="K3:K5"/>
    <mergeCell ref="F40:G40"/>
    <mergeCell ref="B2:B5"/>
    <mergeCell ref="H34:H35"/>
    <mergeCell ref="S49:X49"/>
    <mergeCell ref="Q4:Q5"/>
    <mergeCell ref="D4:D5"/>
    <mergeCell ref="L4:L5"/>
    <mergeCell ref="F33:G33"/>
    <mergeCell ref="V2:V4"/>
    <mergeCell ref="S45:X45"/>
    <mergeCell ref="F36:G36"/>
    <mergeCell ref="X2:X4"/>
    <mergeCell ref="C33:C35"/>
    <mergeCell ref="E33:E35"/>
    <mergeCell ref="B6:B29"/>
    <mergeCell ref="T2:T5"/>
    <mergeCell ref="U2:U4"/>
    <mergeCell ref="O3:O5"/>
    <mergeCell ref="F38:G38"/>
    <mergeCell ref="F34:G35"/>
    <mergeCell ref="G4:G5"/>
    <mergeCell ref="I4:I5"/>
    <mergeCell ref="C2:C5"/>
    <mergeCell ref="N3:N5"/>
    <mergeCell ref="Q2:Q3"/>
    <mergeCell ref="I34:I35"/>
    <mergeCell ref="P38:R38"/>
    <mergeCell ref="L2:L3"/>
    <mergeCell ref="S47:X47"/>
    <mergeCell ref="F39:G39"/>
    <mergeCell ref="B30:C30"/>
    <mergeCell ref="S46:X46"/>
    <mergeCell ref="F4:F5"/>
    <mergeCell ref="H4:H5"/>
    <mergeCell ref="S48:X48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J17"/>
  <sheetViews>
    <sheetView showGridLines="0" workbookViewId="0">
      <selection activeCell="A1" sqref="A1"/>
    </sheetView>
  </sheetViews>
  <sheetFormatPr baseColWidth="8" defaultRowHeight="15"/>
  <cols>
    <col width="9.140625" customWidth="1" min="1" max="1"/>
    <col width="17.42578125" customWidth="1" min="2" max="2"/>
    <col width="21.28515625" customWidth="1" min="3" max="3"/>
    <col width="21" customWidth="1" min="4" max="4"/>
    <col width="9.140625" customWidth="1" min="5" max="5"/>
    <col width="9.140625" customWidth="1" min="6" max="6"/>
    <col width="17.42578125" customWidth="1" min="7" max="7"/>
    <col width="17.42578125" customWidth="1" min="8" max="8"/>
    <col width="17.42578125" customWidth="1" min="9" max="9"/>
    <col width="17.42578125" customWidth="1" min="10" max="10"/>
  </cols>
  <sheetData>
    <row r="1" ht="15" customHeight="1"/>
    <row r="2" ht="24" customHeight="1">
      <c r="B2" s="22" t="inlineStr">
        <is>
          <t>Total Traffic Census Summary</t>
        </is>
      </c>
      <c r="C2" s="2" t="n"/>
      <c r="D2" s="3" t="n"/>
    </row>
    <row r="3" ht="15" customHeight="1"/>
    <row r="4" ht="18" customHeight="1">
      <c r="B4" s="23" t="inlineStr">
        <is>
          <t>JUJA THIKA BOUND</t>
        </is>
      </c>
      <c r="C4" s="24" t="n"/>
      <c r="D4" s="16" t="n"/>
    </row>
    <row r="5" ht="15" customHeight="1">
      <c r="B5" s="25" t="inlineStr">
        <is>
          <t>Buses&gt;= 3500kg  (J)</t>
        </is>
      </c>
      <c r="C5" s="25" t="inlineStr">
        <is>
          <t>Vehicles&gt;= 3500kg but &lt;7000 excluding buses (V)</t>
        </is>
      </c>
      <c r="D5" s="25" t="inlineStr">
        <is>
          <t>Vehicles&gt;= 7000 excluding buses (W)</t>
        </is>
      </c>
    </row>
    <row r="6" ht="14.25" customHeight="1">
      <c r="B6" s="26" t="n"/>
      <c r="C6" s="26" t="n"/>
      <c r="D6" s="26" t="n"/>
    </row>
    <row r="7" ht="22.5" customHeight="1">
      <c r="B7" s="27" t="n"/>
      <c r="C7" s="27" t="n"/>
      <c r="D7" s="27" t="n"/>
    </row>
    <row r="8" ht="15" customHeight="1">
      <c r="B8" s="40" t="n">
        <v>339</v>
      </c>
      <c r="C8" s="40" t="n">
        <v>7</v>
      </c>
      <c r="D8" s="40" t="n">
        <v>3</v>
      </c>
    </row>
    <row r="9" ht="15" customHeight="1">
      <c r="B9" s="40" t="n">
        <v>981</v>
      </c>
      <c r="C9" s="40" t="n">
        <v>20</v>
      </c>
      <c r="D9" s="40" t="n">
        <v>8</v>
      </c>
    </row>
    <row r="10" ht="15" customHeight="1">
      <c r="B10" s="40" t="n">
        <v>464</v>
      </c>
      <c r="C10" s="40" t="n">
        <v>9</v>
      </c>
      <c r="D10" s="40" t="n">
        <v>3</v>
      </c>
    </row>
    <row r="11" ht="15" customHeight="1"/>
    <row r="12" ht="18.75" customHeight="1">
      <c r="B12" s="36" t="inlineStr">
        <is>
          <t>RELEASED TRUCKS</t>
        </is>
      </c>
      <c r="C12" s="24" t="n"/>
      <c r="D12" s="16" t="n"/>
      <c r="G12" s="37" t="inlineStr">
        <is>
          <t>Total Traffic Census (K)</t>
        </is>
      </c>
      <c r="H12" s="2" t="n"/>
      <c r="I12" s="2" t="n"/>
      <c r="J12" s="3" t="n"/>
    </row>
    <row r="13" ht="18.75" customHeight="1">
      <c r="B13" s="41" t="n">
        <v>0</v>
      </c>
      <c r="C13" s="41" t="n">
        <v>0</v>
      </c>
      <c r="D13" s="40" t="n"/>
      <c r="G13" s="39">
        <f>B14+C14+D14</f>
        <v/>
      </c>
      <c r="H13" s="2" t="n"/>
      <c r="I13" s="2" t="n"/>
      <c r="J13" s="3" t="n"/>
    </row>
    <row r="14" ht="17.25" customHeight="1">
      <c r="B14" s="42">
        <f>SUM(B6:B13)</f>
        <v/>
      </c>
      <c r="C14" s="42">
        <f>SUM(C6:C13)</f>
        <v/>
      </c>
      <c r="D14" s="42">
        <f>SUM(D6:D13)</f>
        <v/>
      </c>
    </row>
    <row r="15" ht="15" customHeight="1"/>
    <row r="16" ht="15" customHeight="1"/>
    <row r="17" ht="15.75" customHeight="1">
      <c r="D17" s="43" t="inlineStr">
        <is>
          <t xml:space="preserve">                                               </t>
        </is>
      </c>
    </row>
    <row r="18" ht="23.2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</sheetData>
  <mergeCells count="8">
    <mergeCell ref="G13:J13"/>
    <mergeCell ref="D5:D7"/>
    <mergeCell ref="B4:D4"/>
    <mergeCell ref="G12:J12"/>
    <mergeCell ref="C5:C7"/>
    <mergeCell ref="B12:D12"/>
    <mergeCell ref="B2:D2"/>
    <mergeCell ref="B5:B7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2026-05-12T05:35:52Z</dcterms:created>
  <dcterms:modified xmlns:dcterms="http://purl.org/dc/terms/" xmlns:xsi="http://www.w3.org/2001/XMLSchema-instance" xsi:type="dcterms:W3CDTF">2026-05-12T05:43:39Z</dcterms:modified>
</cp:coreProperties>
</file>