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igh &amp; Hourly Summary" sheetId="1" state="visible" r:id="rId1"/>
    <sheet xmlns:r="http://schemas.openxmlformats.org/officeDocument/2006/relationships" name="Mobile Daily Report" sheetId="2" state="visible" r:id="rId2"/>
    <sheet xmlns:r="http://schemas.openxmlformats.org/officeDocument/2006/relationships" name="Sheet3" sheetId="3" state="hidden" r:id="rId3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color rgb="00000000"/>
      <sz val="11"/>
    </font>
    <font>
      <name val="Arial"/>
      <b val="1"/>
      <color rgb="00000000"/>
      <sz val="28"/>
    </font>
    <font>
      <name val="Arial"/>
      <b val="1"/>
      <color rgb="00000000"/>
      <sz val="14"/>
    </font>
    <font>
      <name val="Calibri"/>
      <color rgb="00000000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FFFF0000"/>
      </patternFill>
    </fill>
    <fill>
      <patternFill patternType="solid">
        <fgColor rgb="00F2F2F2"/>
      </patternFill>
    </fill>
  </fills>
  <borders count="25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/>
      <bottom/>
      <diagonal/>
    </border>
    <border>
      <left style="medium">
        <color rgb="00000000"/>
      </left>
      <right style="medium">
        <color rgb="00000000"/>
      </right>
      <top/>
      <bottom/>
      <diagonal/>
    </border>
    <border>
      <left style="medium">
        <color rgb="00000000"/>
      </left>
      <right style="medium">
        <color rgb="00000000"/>
      </right>
      <top/>
      <bottom style="medium">
        <color rgb="0000000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/>
      <bottom/>
      <diagonal/>
    </border>
    <border>
      <left style="medium">
        <color rgb="00000000"/>
      </left>
      <right/>
      <top/>
      <bottom style="medium">
        <color rgb="00000000"/>
      </bottom>
      <diagonal/>
    </border>
    <border>
      <left/>
      <right/>
      <top/>
      <bottom style="medium">
        <color rgb="00000000"/>
      </bottom>
      <diagonal/>
    </border>
    <border>
      <left/>
      <right style="medium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/>
      <right/>
      <top style="thick">
        <color rgb="00000000"/>
      </top>
      <bottom/>
      <diagonal/>
    </border>
    <border>
      <left/>
      <right style="thick">
        <color rgb="00000000"/>
      </right>
      <top style="thick">
        <color rgb="00000000"/>
      </top>
      <bottom/>
      <diagonal/>
    </border>
    <border>
      <left/>
      <right/>
      <top style="thick">
        <color rgb="00000000"/>
      </top>
      <bottom style="thick">
        <color rgb="00000000"/>
      </bottom>
      <diagonal/>
    </border>
    <border>
      <left/>
      <right style="thick">
        <color rgb="00000000"/>
      </right>
      <top style="thick">
        <color rgb="00000000"/>
      </top>
      <bottom style="thick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/>
      <right/>
      <top style="medium">
        <color rgb="00000000"/>
      </top>
      <bottom style="thin">
        <color rgb="00000000"/>
      </bottom>
      <diagonal/>
    </border>
    <border>
      <left/>
      <right style="medium">
        <color rgb="00000000"/>
      </right>
      <top style="medium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9" pivotButton="0" quotePrefix="0" xfId="0"/>
    <xf numFmtId="165" fontId="2" fillId="0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3" fontId="2" fillId="0" borderId="13" applyAlignment="1" pivotButton="0" quotePrefix="0" xfId="0">
      <alignment horizontal="center" vertical="center" wrapText="1"/>
    </xf>
    <xf numFmtId="0" fontId="2" fillId="2" borderId="13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4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bottom" wrapText="1"/>
    </xf>
    <xf numFmtId="0" fontId="2" fillId="3" borderId="1" applyAlignment="1" pivotButton="0" quotePrefix="0" xfId="0">
      <alignment horizontal="center" vertical="bottom" wrapText="1"/>
    </xf>
    <xf numFmtId="0" fontId="1" fillId="3" borderId="1" applyAlignment="1" pivotButton="0" quotePrefix="0" xfId="0">
      <alignment horizontal="center" vertical="bottom" wrapText="1"/>
    </xf>
    <xf numFmtId="165" fontId="5" fillId="0" borderId="13" applyAlignment="1" pivotButton="0" quotePrefix="0" xfId="0">
      <alignment horizontal="center" vertical="center"/>
    </xf>
    <xf numFmtId="0" fontId="0" fillId="0" borderId="21" pivotButton="0" quotePrefix="0" xfId="0"/>
    <xf numFmtId="0" fontId="5" fillId="0" borderId="13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2" fillId="0" borderId="2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1" fillId="3" borderId="2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bottom" wrapText="1"/>
    </xf>
    <xf numFmtId="0" fontId="1" fillId="3" borderId="13" applyAlignment="1" pivotButton="0" quotePrefix="0" xfId="0">
      <alignment horizontal="center" vertical="bottom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HOURLY DATA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'Weigh &amp; Hourly Summary'!K4</f>
            </strRef>
          </tx>
          <spPr>
            <a:ln xmlns:a="http://schemas.openxmlformats.org/drawingml/2006/main" w="28575" cap="rnd">
              <a:solidFill>
                <a:srgbClr val="1F4E79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'Weigh &amp; Hourly Summary'!$J$5:$J$28</f>
            </numRef>
          </cat>
          <val>
            <numRef>
              <f>'Weigh &amp; Hourly Summary'!$K$5:$K$28</f>
            </numRef>
          </val>
          <smooth val="0"/>
        </ser>
        <ser>
          <idx val="1"/>
          <order val="1"/>
          <tx>
            <strRef>
              <f>'Weigh &amp; Hourly Summary'!L4</f>
            </strRef>
          </tx>
          <spPr>
            <a:ln xmlns:a="http://schemas.openxmlformats.org/drawingml/2006/main" w="28575" cap="rnd">
              <a:solidFill>
                <a:srgbClr val="80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'Weigh &amp; Hourly Summary'!$J$5:$J$28</f>
            </numRef>
          </cat>
          <val>
            <numRef>
              <f>'Weigh &amp; Hourly Summary'!$L$5:$L$28</f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549586240"/>
        <axId val="1549567520"/>
      </lineChart>
      <catAx>
        <axId val="1549586240"/>
        <scaling>
          <orientation val="minMax"/>
        </scaling>
        <axPos val="b"/>
        <numFmt formatCode="General" sourceLinked="0"/>
        <majorTickMark val="none"/>
        <minorTickMark val="none"/>
        <tickLblPos val="nextTo"/>
        <txPr>
          <a:bodyPr xmlns:a="http://schemas.openxmlformats.org/drawingml/2006/main" rot="-60000000" spcFirstLastPara="1" vertOverflow="ellipsis" vert="horz" wrap="square" anchor="ctr" anchorCtr="1"/>
          <a:p xmlns:a="http://schemas.openxmlformats.org/drawingml/2006/main">
            <a:pPr>
              <a:defRPr sz="900" b="0" i="0" strike="noStrike" kern="1200" baseline="0"/>
            </a:pPr>
            <a:r>
              <a:t/>
            </a:r>
          </a:p>
        </txPr>
        <crossAx val="1549567520"/>
        <crosses val="autoZero"/>
        <lblOffset val="100"/>
      </catAx>
      <valAx>
        <axId val="1549567520"/>
        <scaling>
          <orientation val="minMax"/>
        </scaling>
        <axPos val="l"/>
        <majorGridlines/>
        <numFmt formatCode="General" sourceLinked="0"/>
        <majorTickMark val="none"/>
        <minorTickMark val="none"/>
        <tickLblPos val="nextTo"/>
        <txPr>
          <a:bodyPr xmlns:a="http://schemas.openxmlformats.org/drawingml/2006/main" rot="-60000000" spcFirstLastPara="1" vertOverflow="ellipsis" vert="horz" wrap="square" anchor="ctr" anchorCtr="1"/>
          <a:p xmlns:a="http://schemas.openxmlformats.org/drawingml/2006/main">
            <a:pPr>
              <a:defRPr sz="900" b="0" i="0" strike="noStrike" kern="1200" baseline="0"/>
            </a:pPr>
            <a:r>
              <a:t/>
            </a:r>
          </a:p>
        </txPr>
        <crossAx val="1549586240"/>
        <crosses val="autoZero"/>
        <crossBetween val="between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13</col>
      <colOff>728385</colOff>
      <row>3</row>
      <rowOff>51548</rowOff>
    </from>
    <to>
      <col>23</col>
      <colOff>67238</colOff>
      <row>27</row>
      <rowOff>156883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X35"/>
  <sheetViews>
    <sheetView workbookViewId="0">
      <selection activeCell="A1" sqref="A1"/>
    </sheetView>
  </sheetViews>
  <sheetFormatPr baseColWidth="8" defaultRowHeight="15"/>
  <cols>
    <col width="5.43" customWidth="1" min="2" max="2"/>
    <col width="12.29" customWidth="1" min="3" max="3"/>
    <col width="12" customWidth="1" min="4" max="4"/>
    <col width="10.86" customWidth="1" min="5" max="5"/>
    <col width="10.14" customWidth="1" min="6" max="6"/>
    <col width="11.29" customWidth="1" min="7" max="7"/>
    <col width="12" customWidth="1" min="8" max="8"/>
    <col width="11.86" customWidth="1" min="9" max="9"/>
    <col width="11.43" customWidth="1" min="10" max="10"/>
    <col width="12.86" customWidth="1" min="11" max="11"/>
    <col width="13.29" customWidth="1" min="12" max="12"/>
    <col width="12.43" customWidth="1" min="13" max="13"/>
    <col width="13.14" customWidth="1" min="14" max="14"/>
    <col width="8.43" customWidth="1" min="15" max="15"/>
    <col width="8.43" customWidth="1" min="16" max="16"/>
    <col width="8.43" customWidth="1" min="17" max="17"/>
    <col width="8.43" customWidth="1" min="18" max="18"/>
    <col width="8.43" customWidth="1" min="19" max="19"/>
    <col width="8.43" customWidth="1" min="20" max="20"/>
    <col width="8.43" customWidth="1" min="21" max="21"/>
    <col width="8.43" customWidth="1" min="22" max="22"/>
    <col width="8.43" customWidth="1" min="23" max="23"/>
    <col width="8.43" customWidth="1" min="24" max="24"/>
  </cols>
  <sheetData>
    <row r="2" ht="15.75" customHeight="1"/>
    <row r="3" ht="21.75" customHeight="1">
      <c r="C3" s="1" t="inlineStr">
        <is>
          <t>Date</t>
        </is>
      </c>
      <c r="D3" s="1" t="inlineStr">
        <is>
          <t>Time</t>
        </is>
      </c>
      <c r="E3" s="1" t="inlineStr">
        <is>
          <t>Trucks Weighed</t>
        </is>
      </c>
      <c r="F3" s="1" t="inlineStr">
        <is>
          <t>Warned Trucks</t>
        </is>
      </c>
      <c r="G3" s="1" t="inlineStr">
        <is>
          <t>Charged Trucks</t>
        </is>
      </c>
      <c r="H3" s="2" t="inlineStr">
        <is>
          <t xml:space="preserve">Excess GVW </t>
        </is>
      </c>
      <c r="J3" s="1" t="inlineStr">
        <is>
          <t>hourly summary</t>
        </is>
      </c>
      <c r="K3" s="3" t="n"/>
      <c r="L3" s="4" t="n"/>
      <c r="N3" s="5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7" t="n"/>
    </row>
    <row r="4" ht="24.75" customHeight="1">
      <c r="C4" s="8" t="n"/>
      <c r="D4" s="8" t="n"/>
      <c r="E4" s="8" t="n"/>
      <c r="F4" s="8" t="n"/>
      <c r="G4" s="8" t="n"/>
      <c r="H4" s="2" t="inlineStr">
        <is>
          <t>Weight(KGS)</t>
        </is>
      </c>
      <c r="J4" s="1" t="inlineStr">
        <is>
          <t>Date</t>
        </is>
      </c>
      <c r="K4" s="1" t="inlineStr">
        <is>
          <t>WEIGHED</t>
        </is>
      </c>
      <c r="L4" s="1" t="inlineStr">
        <is>
          <t>CHARGED</t>
        </is>
      </c>
      <c r="N4" s="9" t="n"/>
      <c r="X4" s="10" t="n"/>
    </row>
    <row r="5" ht="15.75" customHeight="1">
      <c r="C5" s="11" t="n">
        <v>46154</v>
      </c>
      <c r="D5" s="12" t="inlineStr">
        <is>
          <t>0000-0100</t>
        </is>
      </c>
      <c r="E5" s="12" t="n">
        <v>1</v>
      </c>
      <c r="F5" s="12" t="n">
        <v>0</v>
      </c>
      <c r="G5" s="12" t="n">
        <v>1</v>
      </c>
      <c r="H5" s="13" t="n">
        <v>7500</v>
      </c>
      <c r="J5" s="12" t="inlineStr">
        <is>
          <t>0000-0100</t>
        </is>
      </c>
      <c r="K5" s="14">
        <f>E5</f>
        <v/>
      </c>
      <c r="L5" s="14">
        <f>G5</f>
        <v/>
      </c>
      <c r="N5" s="9" t="n"/>
      <c r="X5" s="10" t="n"/>
    </row>
    <row r="6" ht="15.75" customHeight="1">
      <c r="C6" s="11" t="n"/>
      <c r="D6" s="12" t="inlineStr">
        <is>
          <t>0100-0200</t>
        </is>
      </c>
      <c r="E6" s="12" t="n">
        <v>2</v>
      </c>
      <c r="F6" s="12" t="n">
        <v>0</v>
      </c>
      <c r="G6" s="12" t="n">
        <v>0</v>
      </c>
      <c r="H6" s="13" t="n">
        <v>0</v>
      </c>
      <c r="J6" s="12" t="inlineStr">
        <is>
          <t>0100-0200</t>
        </is>
      </c>
      <c r="K6" s="14">
        <f>E6</f>
        <v/>
      </c>
      <c r="L6" s="14">
        <f>G6</f>
        <v/>
      </c>
      <c r="N6" s="9" t="n"/>
      <c r="X6" s="10" t="n"/>
    </row>
    <row r="7" ht="15.75" customHeight="1">
      <c r="C7" s="11" t="n"/>
      <c r="D7" s="12" t="inlineStr">
        <is>
          <t>0200-0300</t>
        </is>
      </c>
      <c r="E7" s="12" t="n">
        <v>2</v>
      </c>
      <c r="F7" s="12" t="n">
        <v>1</v>
      </c>
      <c r="G7" s="12" t="n">
        <v>0</v>
      </c>
      <c r="H7" s="13" t="n">
        <v>0</v>
      </c>
      <c r="J7" s="12" t="inlineStr">
        <is>
          <t>0200-0300</t>
        </is>
      </c>
      <c r="K7" s="14">
        <f>E7</f>
        <v/>
      </c>
      <c r="L7" s="14">
        <f>G7</f>
        <v/>
      </c>
      <c r="N7" s="9" t="n"/>
      <c r="X7" s="10" t="n"/>
    </row>
    <row r="8" ht="15" customHeight="1">
      <c r="C8" s="11" t="n"/>
      <c r="D8" s="12" t="inlineStr">
        <is>
          <t>0300-0400</t>
        </is>
      </c>
      <c r="E8" s="12" t="n">
        <v>0</v>
      </c>
      <c r="F8" s="12" t="n">
        <v>0</v>
      </c>
      <c r="G8" s="12" t="n">
        <v>0</v>
      </c>
      <c r="H8" s="13" t="n">
        <v>0</v>
      </c>
      <c r="J8" s="12" t="inlineStr">
        <is>
          <t>0300-0400</t>
        </is>
      </c>
      <c r="K8" s="14">
        <f>E8</f>
        <v/>
      </c>
      <c r="L8" s="14">
        <f>G8</f>
        <v/>
      </c>
      <c r="N8" s="9" t="n"/>
      <c r="X8" s="10" t="n"/>
    </row>
    <row r="9" ht="15" customHeight="1">
      <c r="C9" s="11" t="n"/>
      <c r="D9" s="12" t="inlineStr">
        <is>
          <t>0400-0500</t>
        </is>
      </c>
      <c r="E9" s="12" t="n">
        <v>0</v>
      </c>
      <c r="F9" s="12" t="n">
        <v>0</v>
      </c>
      <c r="G9" s="12" t="n">
        <v>0</v>
      </c>
      <c r="H9" s="13" t="n">
        <v>0</v>
      </c>
      <c r="J9" s="12" t="inlineStr">
        <is>
          <t>0400-0500</t>
        </is>
      </c>
      <c r="K9" s="14">
        <f>E9</f>
        <v/>
      </c>
      <c r="L9" s="14">
        <f>G9</f>
        <v/>
      </c>
      <c r="N9" s="9" t="n"/>
      <c r="X9" s="10" t="n"/>
    </row>
    <row r="10" ht="15" customHeight="1">
      <c r="C10" s="11" t="n"/>
      <c r="D10" s="12" t="inlineStr">
        <is>
          <t>0500-0600</t>
        </is>
      </c>
      <c r="E10" s="12" t="n">
        <v>5</v>
      </c>
      <c r="F10" s="12" t="n">
        <v>0</v>
      </c>
      <c r="G10" s="12" t="n">
        <v>0</v>
      </c>
      <c r="H10" s="13" t="n">
        <v>0</v>
      </c>
      <c r="J10" s="12" t="inlineStr">
        <is>
          <t>0500-0600</t>
        </is>
      </c>
      <c r="K10" s="14">
        <f>E10</f>
        <v/>
      </c>
      <c r="L10" s="14">
        <f>G10</f>
        <v/>
      </c>
      <c r="N10" s="9" t="n"/>
      <c r="X10" s="10" t="n"/>
    </row>
    <row r="11" ht="15" customHeight="1">
      <c r="C11" s="11" t="n"/>
      <c r="D11" s="12" t="inlineStr">
        <is>
          <t>0600-0700</t>
        </is>
      </c>
      <c r="E11" s="12" t="n">
        <v>5</v>
      </c>
      <c r="F11" s="12" t="n">
        <v>1</v>
      </c>
      <c r="G11" s="12" t="n">
        <v>0</v>
      </c>
      <c r="H11" s="13" t="n">
        <v>0</v>
      </c>
      <c r="J11" s="12" t="inlineStr">
        <is>
          <t>0600-0700</t>
        </is>
      </c>
      <c r="K11" s="14">
        <f>E11</f>
        <v/>
      </c>
      <c r="L11" s="14">
        <f>G11</f>
        <v/>
      </c>
      <c r="N11" s="9" t="n"/>
      <c r="X11" s="10" t="n"/>
    </row>
    <row r="12" ht="15" customHeight="1">
      <c r="C12" s="11" t="n"/>
      <c r="D12" s="12" t="inlineStr">
        <is>
          <t>0700-0800</t>
        </is>
      </c>
      <c r="E12" s="12" t="n">
        <v>0</v>
      </c>
      <c r="F12" s="12" t="n">
        <v>0</v>
      </c>
      <c r="G12" s="12" t="n">
        <v>0</v>
      </c>
      <c r="H12" s="13" t="n">
        <v>0</v>
      </c>
      <c r="J12" s="12" t="inlineStr">
        <is>
          <t>0700-0800</t>
        </is>
      </c>
      <c r="K12" s="14">
        <f>E12</f>
        <v/>
      </c>
      <c r="L12" s="14">
        <f>G12</f>
        <v/>
      </c>
      <c r="N12" s="9" t="n"/>
      <c r="X12" s="10" t="n"/>
    </row>
    <row r="13" ht="15" customHeight="1">
      <c r="C13" s="11" t="n"/>
      <c r="D13" s="12" t="inlineStr">
        <is>
          <t>0800-0900</t>
        </is>
      </c>
      <c r="E13" s="12" t="n">
        <v>0</v>
      </c>
      <c r="F13" s="12" t="n">
        <v>0</v>
      </c>
      <c r="G13" s="12" t="n">
        <v>0</v>
      </c>
      <c r="H13" s="13" t="n">
        <v>0</v>
      </c>
      <c r="J13" s="12" t="inlineStr">
        <is>
          <t>0800-0900</t>
        </is>
      </c>
      <c r="K13" s="14">
        <f>E13</f>
        <v/>
      </c>
      <c r="L13" s="14">
        <f>G13</f>
        <v/>
      </c>
      <c r="N13" s="9" t="n"/>
      <c r="X13" s="10" t="n"/>
    </row>
    <row r="14" ht="15" customHeight="1">
      <c r="C14" s="11" t="n"/>
      <c r="D14" s="12" t="inlineStr">
        <is>
          <t>0900-1000</t>
        </is>
      </c>
      <c r="E14" s="12" t="n">
        <v>0</v>
      </c>
      <c r="F14" s="12" t="n">
        <v>0</v>
      </c>
      <c r="G14" s="12" t="n">
        <v>0</v>
      </c>
      <c r="H14" s="13" t="n">
        <v>0</v>
      </c>
      <c r="J14" s="12" t="inlineStr">
        <is>
          <t>0900-1000</t>
        </is>
      </c>
      <c r="K14" s="14">
        <f>E14</f>
        <v/>
      </c>
      <c r="L14" s="14">
        <f>G14</f>
        <v/>
      </c>
      <c r="N14" s="9" t="n"/>
      <c r="X14" s="10" t="n"/>
    </row>
    <row r="15" ht="15" customHeight="1">
      <c r="C15" s="11" t="n"/>
      <c r="D15" s="12" t="inlineStr">
        <is>
          <t>1000-1100</t>
        </is>
      </c>
      <c r="E15" s="12" t="n">
        <v>0</v>
      </c>
      <c r="F15" s="12" t="n">
        <v>0</v>
      </c>
      <c r="G15" s="12" t="n">
        <v>0</v>
      </c>
      <c r="H15" s="13" t="n">
        <v>0</v>
      </c>
      <c r="J15" s="12" t="inlineStr">
        <is>
          <t>1000-1100</t>
        </is>
      </c>
      <c r="K15" s="14">
        <f>E15</f>
        <v/>
      </c>
      <c r="L15" s="14">
        <f>G15</f>
        <v/>
      </c>
      <c r="N15" s="9" t="n"/>
      <c r="X15" s="10" t="n"/>
    </row>
    <row r="16" ht="15" customHeight="1">
      <c r="C16" s="11" t="n"/>
      <c r="D16" s="12" t="inlineStr">
        <is>
          <t>1100-1200</t>
        </is>
      </c>
      <c r="E16" s="12" t="n">
        <v>0</v>
      </c>
      <c r="F16" s="12" t="n">
        <v>0</v>
      </c>
      <c r="G16" s="12" t="n">
        <v>0</v>
      </c>
      <c r="H16" s="13" t="n">
        <v>0</v>
      </c>
      <c r="J16" s="12" t="inlineStr">
        <is>
          <t>1100-1200</t>
        </is>
      </c>
      <c r="K16" s="14">
        <f>E16</f>
        <v/>
      </c>
      <c r="L16" s="14">
        <f>G16</f>
        <v/>
      </c>
      <c r="N16" s="9" t="n"/>
      <c r="X16" s="10" t="n"/>
    </row>
    <row r="17" ht="15" customHeight="1">
      <c r="C17" s="11" t="n"/>
      <c r="D17" s="12" t="inlineStr">
        <is>
          <t>1200-1300</t>
        </is>
      </c>
      <c r="E17" s="12" t="n">
        <v>0</v>
      </c>
      <c r="F17" s="12" t="n">
        <v>0</v>
      </c>
      <c r="G17" s="12" t="n">
        <v>0</v>
      </c>
      <c r="H17" s="13" t="n">
        <v>0</v>
      </c>
      <c r="J17" s="12" t="inlineStr">
        <is>
          <t>1200-1300</t>
        </is>
      </c>
      <c r="K17" s="14">
        <f>E17</f>
        <v/>
      </c>
      <c r="L17" s="14">
        <f>G17</f>
        <v/>
      </c>
      <c r="N17" s="9" t="n"/>
      <c r="X17" s="10" t="n"/>
    </row>
    <row r="18" ht="15" customHeight="1">
      <c r="C18" s="11" t="n"/>
      <c r="D18" s="12" t="inlineStr">
        <is>
          <t>1300-1400</t>
        </is>
      </c>
      <c r="E18" s="12" t="n">
        <v>0</v>
      </c>
      <c r="F18" s="12" t="n">
        <v>0</v>
      </c>
      <c r="G18" s="12" t="n">
        <v>0</v>
      </c>
      <c r="H18" s="13" t="n">
        <v>0</v>
      </c>
      <c r="J18" s="12" t="inlineStr">
        <is>
          <t>1300-1400</t>
        </is>
      </c>
      <c r="K18" s="14">
        <f>E18</f>
        <v/>
      </c>
      <c r="L18" s="14">
        <f>G18</f>
        <v/>
      </c>
      <c r="N18" s="9" t="n"/>
      <c r="X18" s="10" t="n"/>
    </row>
    <row r="19" ht="15" customHeight="1">
      <c r="C19" s="11" t="n"/>
      <c r="D19" s="12" t="inlineStr">
        <is>
          <t>1400-1500</t>
        </is>
      </c>
      <c r="E19" s="12" t="n">
        <v>0</v>
      </c>
      <c r="F19" s="12" t="n">
        <v>0</v>
      </c>
      <c r="G19" s="12" t="n">
        <v>0</v>
      </c>
      <c r="H19" s="13" t="n">
        <v>0</v>
      </c>
      <c r="J19" s="12" t="inlineStr">
        <is>
          <t>1400-1500</t>
        </is>
      </c>
      <c r="K19" s="14">
        <f>E19</f>
        <v/>
      </c>
      <c r="L19" s="14">
        <f>G19</f>
        <v/>
      </c>
      <c r="N19" s="9" t="n"/>
      <c r="X19" s="10" t="n"/>
    </row>
    <row r="20" ht="15" customHeight="1">
      <c r="C20" s="11" t="n"/>
      <c r="D20" s="12" t="inlineStr">
        <is>
          <t>1500-1600</t>
        </is>
      </c>
      <c r="E20" s="12" t="n">
        <v>0</v>
      </c>
      <c r="F20" s="12" t="n">
        <v>0</v>
      </c>
      <c r="G20" s="12" t="n">
        <v>0</v>
      </c>
      <c r="H20" s="13" t="n">
        <v>0</v>
      </c>
      <c r="J20" s="12" t="inlineStr">
        <is>
          <t>1500-1600</t>
        </is>
      </c>
      <c r="K20" s="14">
        <f>E20</f>
        <v/>
      </c>
      <c r="L20" s="14">
        <f>G20</f>
        <v/>
      </c>
      <c r="N20" s="9" t="n"/>
      <c r="X20" s="10" t="n"/>
    </row>
    <row r="21" ht="15" customHeight="1">
      <c r="C21" s="11" t="n"/>
      <c r="D21" s="12" t="inlineStr">
        <is>
          <t>1600-1700</t>
        </is>
      </c>
      <c r="E21" s="12" t="n">
        <v>0</v>
      </c>
      <c r="F21" s="12" t="n">
        <v>0</v>
      </c>
      <c r="G21" s="12" t="n">
        <v>0</v>
      </c>
      <c r="H21" s="13" t="n">
        <v>0</v>
      </c>
      <c r="J21" s="12" t="inlineStr">
        <is>
          <t>1600-1700</t>
        </is>
      </c>
      <c r="K21" s="14">
        <f>E21</f>
        <v/>
      </c>
      <c r="L21" s="14">
        <f>G21</f>
        <v/>
      </c>
      <c r="N21" s="9" t="n"/>
      <c r="X21" s="10" t="n"/>
    </row>
    <row r="22" ht="15" customHeight="1">
      <c r="C22" s="11" t="n"/>
      <c r="D22" s="12" t="inlineStr">
        <is>
          <t>1700-1800</t>
        </is>
      </c>
      <c r="E22" s="12" t="n">
        <v>0</v>
      </c>
      <c r="F22" s="12" t="n">
        <v>0</v>
      </c>
      <c r="G22" s="12" t="n">
        <v>0</v>
      </c>
      <c r="H22" s="13" t="n">
        <v>0</v>
      </c>
      <c r="J22" s="12" t="inlineStr">
        <is>
          <t>1700-1800</t>
        </is>
      </c>
      <c r="K22" s="14">
        <f>E22</f>
        <v/>
      </c>
      <c r="L22" s="14">
        <f>G22</f>
        <v/>
      </c>
      <c r="N22" s="9" t="n"/>
      <c r="X22" s="10" t="n"/>
    </row>
    <row r="23" ht="15" customHeight="1">
      <c r="C23" s="11" t="n"/>
      <c r="D23" s="12" t="inlineStr">
        <is>
          <t>1800-1900</t>
        </is>
      </c>
      <c r="E23" s="12" t="n">
        <v>0</v>
      </c>
      <c r="F23" s="12" t="n">
        <v>0</v>
      </c>
      <c r="G23" s="12" t="n">
        <v>0</v>
      </c>
      <c r="H23" s="13" t="n">
        <v>0</v>
      </c>
      <c r="J23" s="12" t="inlineStr">
        <is>
          <t>1800-1900</t>
        </is>
      </c>
      <c r="K23" s="14">
        <f>E23</f>
        <v/>
      </c>
      <c r="L23" s="14">
        <f>G23</f>
        <v/>
      </c>
      <c r="N23" s="9" t="n"/>
      <c r="X23" s="10" t="n"/>
    </row>
    <row r="24" ht="15" customHeight="1">
      <c r="C24" s="11" t="n"/>
      <c r="D24" s="12" t="inlineStr">
        <is>
          <t>1900-2000</t>
        </is>
      </c>
      <c r="E24" s="12" t="n">
        <v>0</v>
      </c>
      <c r="F24" s="12" t="n">
        <v>0</v>
      </c>
      <c r="G24" s="12" t="n">
        <v>0</v>
      </c>
      <c r="H24" s="13" t="n">
        <v>0</v>
      </c>
      <c r="J24" s="12" t="inlineStr">
        <is>
          <t>1900-2000</t>
        </is>
      </c>
      <c r="K24" s="14">
        <f>E24</f>
        <v/>
      </c>
      <c r="L24" s="14">
        <f>G24</f>
        <v/>
      </c>
      <c r="N24" s="9" t="n"/>
      <c r="X24" s="10" t="n"/>
    </row>
    <row r="25" ht="15" customHeight="1">
      <c r="C25" s="11" t="n"/>
      <c r="D25" s="12" t="inlineStr">
        <is>
          <t>2000-2100</t>
        </is>
      </c>
      <c r="E25" s="12" t="n">
        <v>0</v>
      </c>
      <c r="F25" s="12" t="n">
        <v>0</v>
      </c>
      <c r="G25" s="12" t="n">
        <v>0</v>
      </c>
      <c r="H25" s="13" t="n">
        <v>0</v>
      </c>
      <c r="J25" s="12" t="inlineStr">
        <is>
          <t>2000-2100</t>
        </is>
      </c>
      <c r="K25" s="14">
        <f>E25</f>
        <v/>
      </c>
      <c r="L25" s="14">
        <f>G25</f>
        <v/>
      </c>
      <c r="N25" s="9" t="n"/>
      <c r="X25" s="10" t="n"/>
    </row>
    <row r="26" ht="15" customHeight="1">
      <c r="C26" s="11" t="n"/>
      <c r="D26" s="12" t="inlineStr">
        <is>
          <t>2100-2200</t>
        </is>
      </c>
      <c r="E26" s="12" t="n">
        <v>0</v>
      </c>
      <c r="F26" s="12" t="n">
        <v>0</v>
      </c>
      <c r="G26" s="12" t="n">
        <v>0</v>
      </c>
      <c r="H26" s="13" t="n">
        <v>0</v>
      </c>
      <c r="J26" s="12" t="inlineStr">
        <is>
          <t>2100-2200</t>
        </is>
      </c>
      <c r="K26" s="14">
        <f>E26</f>
        <v/>
      </c>
      <c r="L26" s="14">
        <f>G26</f>
        <v/>
      </c>
      <c r="N26" s="9" t="n"/>
      <c r="X26" s="10" t="n"/>
    </row>
    <row r="27" ht="15" customHeight="1">
      <c r="C27" s="11" t="n"/>
      <c r="D27" s="12" t="inlineStr">
        <is>
          <t>2200-2300</t>
        </is>
      </c>
      <c r="E27" s="12" t="n">
        <v>0</v>
      </c>
      <c r="F27" s="12" t="n">
        <v>0</v>
      </c>
      <c r="G27" s="12" t="n">
        <v>0</v>
      </c>
      <c r="H27" s="13" t="n">
        <v>0</v>
      </c>
      <c r="J27" s="12" t="inlineStr">
        <is>
          <t>2200-2300</t>
        </is>
      </c>
      <c r="K27" s="14">
        <f>E27</f>
        <v/>
      </c>
      <c r="L27" s="14">
        <f>G27</f>
        <v/>
      </c>
      <c r="N27" s="9" t="n"/>
      <c r="X27" s="10" t="n"/>
    </row>
    <row r="28" ht="15" customHeight="1">
      <c r="C28" s="11" t="n"/>
      <c r="D28" s="12" t="inlineStr">
        <is>
          <t>2300-0000</t>
        </is>
      </c>
      <c r="E28" s="12" t="n">
        <v>0</v>
      </c>
      <c r="F28" s="12" t="n">
        <v>0</v>
      </c>
      <c r="G28" s="12" t="n">
        <v>0</v>
      </c>
      <c r="H28" s="13" t="n">
        <v>0</v>
      </c>
      <c r="J28" s="12" t="inlineStr">
        <is>
          <t>2300-0000</t>
        </is>
      </c>
      <c r="K28" s="14">
        <f>E28</f>
        <v/>
      </c>
      <c r="L28" s="14">
        <f>G28</f>
        <v/>
      </c>
      <c r="N28" s="9" t="n"/>
      <c r="X28" s="10" t="n"/>
    </row>
    <row r="29" ht="15.75" customHeight="1">
      <c r="D29" s="15" t="inlineStr">
        <is>
          <t>Total</t>
        </is>
      </c>
      <c r="E29" s="15">
        <f>SUM(E5:E28)</f>
        <v/>
      </c>
      <c r="F29" s="15">
        <f>SUM(F5:F28)</f>
        <v/>
      </c>
      <c r="G29" s="15">
        <f>SUM(G5:G28)</f>
        <v/>
      </c>
      <c r="H29" s="15">
        <f>SUM(H5:H28)</f>
        <v/>
      </c>
      <c r="J29" s="15" t="inlineStr">
        <is>
          <t>Total</t>
        </is>
      </c>
      <c r="K29" s="15">
        <f>SUM(K5:K28)</f>
        <v/>
      </c>
      <c r="L29" s="15">
        <f>SUM(L5:L28)</f>
        <v/>
      </c>
      <c r="N29" s="9" t="n"/>
      <c r="X29" s="10" t="n"/>
    </row>
    <row r="30" ht="15.75" customHeight="1">
      <c r="N30" s="16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8" t="n"/>
    </row>
    <row r="31" ht="15.75" customHeight="1"/>
    <row r="32" ht="55.5" customHeight="1">
      <c r="D32" s="1" t="inlineStr">
        <is>
          <t>Total Weighed (X)</t>
        </is>
      </c>
      <c r="E32" s="1" t="inlineStr">
        <is>
          <t>Warned &amp; Charged (Y)</t>
        </is>
      </c>
      <c r="F32" s="1" t="inlineStr">
        <is>
          <t>Charged &amp; Prohibited (Z)</t>
        </is>
      </c>
      <c r="G32" s="1" t="inlineStr">
        <is>
          <t>Warned (A)</t>
        </is>
      </c>
      <c r="H32" s="1" t="inlineStr">
        <is>
          <t>Cases Cleared in Court (B)</t>
        </is>
      </c>
      <c r="I32" s="1" t="inlineStr">
        <is>
          <t xml:space="preserve">  Transgressions (L)</t>
        </is>
      </c>
      <c r="J32" s="1" t="inlineStr">
        <is>
          <t>Exempted permit (E)</t>
        </is>
      </c>
      <c r="K32" s="1" t="inlineStr">
        <is>
          <t>Manually Weighed (M)</t>
        </is>
      </c>
      <c r="O32" s="19" t="inlineStr">
        <is>
          <t>Notes</t>
        </is>
      </c>
      <c r="P32" s="3" t="n"/>
      <c r="Q32" s="3" t="n"/>
      <c r="R32" s="3" t="n"/>
      <c r="S32" s="3" t="n"/>
      <c r="T32" s="3" t="n"/>
      <c r="U32" s="3" t="n"/>
      <c r="V32" s="4" t="n"/>
    </row>
    <row r="33" ht="18.75" customHeight="1">
      <c r="D33" s="20">
        <f>E29</f>
        <v/>
      </c>
      <c r="E33" s="20">
        <f>F29+G29</f>
        <v/>
      </c>
      <c r="F33" s="20">
        <f>G29</f>
        <v/>
      </c>
      <c r="G33" s="20">
        <f>F29</f>
        <v/>
      </c>
      <c r="H33" s="21" t="n">
        <v>1</v>
      </c>
      <c r="I33" s="21" t="n">
        <v>0</v>
      </c>
      <c r="J33" s="21" t="n">
        <v>0</v>
      </c>
      <c r="K33" s="21" t="n">
        <v>0</v>
      </c>
      <c r="O33" s="22" t="inlineStr">
        <is>
          <r>
            <rPr>
              <b val="1"/>
              <color rgb="00000000"/>
            </rPr>
            <t>Red</t>
          </r>
          <r>
            <rPr>
              <color rgb="00000000"/>
            </rPr>
            <t xml:space="preserve"> = formulae, do not edit</t>
          </r>
        </is>
      </c>
      <c r="P33" s="3" t="n"/>
      <c r="Q33" s="3" t="n"/>
      <c r="R33" s="3" t="n"/>
      <c r="S33" s="3" t="n"/>
      <c r="T33" s="3" t="n"/>
      <c r="U33" s="3" t="n"/>
      <c r="V33" s="4" t="n"/>
    </row>
    <row r="34" ht="18.75" customHeight="1">
      <c r="D34" s="1" t="inlineStr">
        <is>
          <t>weighed summary</t>
        </is>
      </c>
      <c r="E34" s="3" t="n"/>
      <c r="F34" s="3" t="n"/>
      <c r="G34" s="3" t="n"/>
      <c r="H34" s="3" t="n"/>
      <c r="I34" s="3" t="n"/>
      <c r="J34" s="3" t="n"/>
      <c r="K34" s="4" t="n"/>
      <c r="O34" s="23" t="inlineStr">
        <is>
          <r>
            <rPr>
              <b val="1"/>
              <color rgb="00000000"/>
            </rPr>
            <t>No fill</t>
          </r>
          <r>
            <rPr>
              <color rgb="00000000"/>
            </rPr>
            <t xml:space="preserve"> = manual entries fill in from data collection forms</t>
          </r>
        </is>
      </c>
      <c r="P34" s="3" t="n"/>
      <c r="Q34" s="3" t="n"/>
      <c r="R34" s="3" t="n"/>
      <c r="S34" s="3" t="n"/>
      <c r="T34" s="3" t="n"/>
      <c r="U34" s="3" t="n"/>
      <c r="V34" s="4" t="n"/>
    </row>
    <row r="35" ht="19.5" customHeight="1">
      <c r="O35" s="24" t="inlineStr">
        <is>
          <t>Data in the table is for illustration purposes ONLY</t>
        </is>
      </c>
      <c r="P35" s="3" t="n"/>
      <c r="Q35" s="3" t="n"/>
      <c r="R35" s="3" t="n"/>
      <c r="S35" s="3" t="n"/>
      <c r="T35" s="3" t="n"/>
      <c r="U35" s="3" t="n"/>
      <c r="V35" s="4" t="n"/>
    </row>
    <row r="36" ht="15" customHeight="1"/>
    <row r="37" ht="23.25" customHeight="1"/>
  </sheetData>
  <mergeCells count="12">
    <mergeCell ref="O35:V35"/>
    <mergeCell ref="N3:X30"/>
    <mergeCell ref="C3:C4"/>
    <mergeCell ref="O34:V34"/>
    <mergeCell ref="G3:G4"/>
    <mergeCell ref="E3:E4"/>
    <mergeCell ref="D34:K34"/>
    <mergeCell ref="F3:F4"/>
    <mergeCell ref="D3:D4"/>
    <mergeCell ref="O33:V33"/>
    <mergeCell ref="O32:V32"/>
    <mergeCell ref="J3:L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25"/>
  <sheetViews>
    <sheetView workbookViewId="0">
      <selection activeCell="A1" sqref="A1"/>
    </sheetView>
  </sheetViews>
  <sheetFormatPr baseColWidth="8" defaultRowHeight="15"/>
  <cols>
    <col width="2" customWidth="1" min="1" max="1"/>
    <col width="11.43" customWidth="1" min="2" max="2"/>
    <col width="16.43" customWidth="1" min="3" max="3"/>
    <col width="43.29" customWidth="1" min="4" max="4"/>
    <col width="12.14" customWidth="1" min="5" max="5"/>
    <col width="27.29" customWidth="1" min="6" max="6"/>
    <col width="19.43" customWidth="1" min="7" max="7"/>
    <col width="21.71" customWidth="1" min="8" max="8"/>
    <col width="13.57" customWidth="1" min="9" max="9"/>
    <col width="31.29" customWidth="1" min="10" max="10"/>
    <col width="65.70999999999999" customWidth="1" min="11" max="11"/>
    <col width="42.71" customWidth="1" min="12" max="12"/>
    <col width="23.14" customWidth="1" min="13" max="13"/>
    <col width="132.86" customWidth="1" min="14" max="14"/>
  </cols>
  <sheetData>
    <row r="1" ht="15.75" customHeight="1"/>
    <row r="2" ht="25.5" customHeight="1">
      <c r="B2" s="25" t="inlineStr">
        <is>
          <t>JUJA DAILY THIKA REPORT</t>
        </is>
      </c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7" t="n"/>
    </row>
    <row r="3" ht="14.25" customHeight="1"/>
    <row r="4" ht="18.75" customHeight="1">
      <c r="K4" s="28" t="inlineStr">
        <is>
          <t>MILEAGE</t>
        </is>
      </c>
      <c r="L4" s="3" t="n"/>
      <c r="M4" s="4" t="n"/>
    </row>
    <row r="5" ht="31.5" customHeight="1">
      <c r="B5" s="29" t="inlineStr">
        <is>
          <t>DATE</t>
        </is>
      </c>
      <c r="C5" s="30" t="inlineStr"/>
      <c r="D5" s="4" t="n"/>
      <c r="E5" s="31" t="inlineStr">
        <is>
          <t>DANKA STAFF</t>
        </is>
      </c>
      <c r="F5" s="4" t="n"/>
      <c r="G5" s="31" t="inlineStr">
        <is>
          <t>POLICE OFFICERS</t>
        </is>
      </c>
      <c r="H5" s="4" t="n"/>
      <c r="I5" s="31" t="inlineStr">
        <is>
          <t>TRUCKS WEIGHED</t>
        </is>
      </c>
      <c r="J5" s="31" t="inlineStr">
        <is>
          <t>TRUCKS CHARGED</t>
        </is>
      </c>
      <c r="K5" s="31" t="inlineStr">
        <is>
          <t>MILEAGE START</t>
        </is>
      </c>
      <c r="L5" s="31" t="inlineStr">
        <is>
          <t>MILEAGE END</t>
        </is>
      </c>
      <c r="M5" s="31" t="inlineStr">
        <is>
          <t>KMS</t>
        </is>
      </c>
      <c r="N5" s="31" t="inlineStr">
        <is>
          <t>MOBILE VEHICLE</t>
        </is>
      </c>
    </row>
    <row r="6" ht="18" customHeight="1">
      <c r="B6" s="32" t="n">
        <v>46154</v>
      </c>
      <c r="C6" s="12" t="inlineStr"/>
      <c r="D6" s="33" t="n"/>
      <c r="E6" s="34" t="inlineStr">
        <is>
          <t>DM DUNCAN ODHIAMBO/DM ELIZABETH CHARI/DRIVER SILAS MWANGI</t>
        </is>
      </c>
      <c r="G6" s="35" t="inlineStr">
        <is>
          <t>CPL EMASON SAUTET</t>
        </is>
      </c>
      <c r="I6" s="36" t="n">
        <v>15</v>
      </c>
      <c r="J6" s="36" t="n">
        <v>1</v>
      </c>
      <c r="K6" s="37" t="n">
        <v>61267</v>
      </c>
      <c r="L6" s="38" t="n">
        <v>61447</v>
      </c>
      <c r="M6" s="36">
        <f>L6-K6</f>
        <v/>
      </c>
      <c r="N6" s="36" t="inlineStr">
        <is>
          <t>KDS042Z</t>
        </is>
      </c>
    </row>
    <row r="7" ht="15.75" customHeight="1">
      <c r="B7" s="12" t="inlineStr"/>
      <c r="C7" s="12" t="inlineStr"/>
      <c r="D7" s="33" t="n"/>
      <c r="E7" s="34" t="inlineStr"/>
      <c r="G7" s="35" t="inlineStr"/>
      <c r="J7" s="38" t="n">
        <v>0</v>
      </c>
    </row>
    <row r="8" ht="15.75" customHeight="1">
      <c r="G8" s="39" t="inlineStr">
        <is>
          <t>TOTAL</t>
        </is>
      </c>
      <c r="J8" s="40">
        <f>J7+J6</f>
        <v/>
      </c>
      <c r="M8" s="40">
        <f>M6</f>
        <v/>
      </c>
    </row>
    <row r="9">
      <c r="B9" s="41" t="inlineStr"/>
      <c r="C9" s="42" t="n"/>
      <c r="D9" s="42" t="n"/>
      <c r="E9" s="43" t="n"/>
      <c r="F9" s="44" t="inlineStr">
        <is>
          <t>EXCESS   WEIGHT</t>
        </is>
      </c>
      <c r="G9" s="43" t="n"/>
      <c r="H9" s="41" t="inlineStr"/>
      <c r="I9" s="42" t="n"/>
      <c r="J9" s="42" t="n"/>
      <c r="K9" s="42" t="n"/>
      <c r="L9" s="42" t="n"/>
      <c r="M9" s="42" t="n"/>
      <c r="N9" s="43" t="n"/>
    </row>
    <row r="10" ht="30" customHeight="1">
      <c r="B10" s="45" t="inlineStr">
        <is>
          <t>DATE  WEIGHED</t>
        </is>
      </c>
      <c r="C10" s="46" t="inlineStr">
        <is>
          <t>VEHICLE REG</t>
        </is>
      </c>
      <c r="D10" s="46" t="inlineStr">
        <is>
          <t>TRANSPORTER</t>
        </is>
      </c>
      <c r="E10" s="46" t="inlineStr">
        <is>
          <t>CONFIG.</t>
        </is>
      </c>
      <c r="F10" s="46" t="inlineStr">
        <is>
          <t>GVW</t>
        </is>
      </c>
      <c r="G10" s="46" t="inlineStr">
        <is>
          <t>AXLE</t>
        </is>
      </c>
      <c r="H10" s="46" t="inlineStr">
        <is>
          <t>ORIGIN</t>
        </is>
      </c>
      <c r="I10" s="46" t="inlineStr">
        <is>
          <t>DESTIN.</t>
        </is>
      </c>
      <c r="J10" s="46" t="inlineStr">
        <is>
          <t>CARGO</t>
        </is>
      </c>
      <c r="K10" s="46" t="inlineStr">
        <is>
          <t>COMPUTER OPERATER 
(DANKA STAFF)</t>
        </is>
      </c>
      <c r="L10" s="46" t="inlineStr">
        <is>
          <t>OFFICERS</t>
        </is>
      </c>
      <c r="M10" s="46" t="inlineStr">
        <is>
          <t>REMARKS</t>
        </is>
      </c>
      <c r="N10" s="46" t="inlineStr">
        <is>
          <t>ROUTE</t>
        </is>
      </c>
    </row>
    <row r="11">
      <c r="B11" s="32" t="n">
        <v>46154</v>
      </c>
      <c r="C11" s="35" t="inlineStr">
        <is>
          <t>KBW781J</t>
        </is>
      </c>
      <c r="D11" s="35" t="inlineStr">
        <is>
          <t>OMAR HALEN.</t>
        </is>
      </c>
      <c r="E11" s="35" t="inlineStr">
        <is>
          <t>4A</t>
        </is>
      </c>
      <c r="F11" s="38" t="n">
        <v>7500</v>
      </c>
      <c r="G11" s="38" t="n">
        <v>7500</v>
      </c>
      <c r="H11" s="35" t="inlineStr">
        <is>
          <t>BURUBURU</t>
        </is>
      </c>
      <c r="I11" s="35" t="inlineStr">
        <is>
          <t>EASTLIEGH</t>
        </is>
      </c>
      <c r="J11" s="35" t="inlineStr">
        <is>
          <t>WATER</t>
        </is>
      </c>
      <c r="K11" s="34" t="inlineStr">
        <is>
          <t>DM DUNCAN ODHIAMBO/DM ELIZABETH CHARI/DRIVER SILAS MWANGI</t>
        </is>
      </c>
      <c r="L11" s="35" t="inlineStr">
        <is>
          <t>CPL EMASON SAUTET</t>
        </is>
      </c>
      <c r="M11" s="34" t="inlineStr">
        <is>
          <t>CHARGED</t>
        </is>
      </c>
      <c r="N11" s="35" t="inlineStr"/>
    </row>
    <row r="12">
      <c r="B12" s="32" t="n">
        <v>46154</v>
      </c>
      <c r="C12" s="35" t="inlineStr">
        <is>
          <t>KCF479D</t>
        </is>
      </c>
      <c r="D12" s="35" t="inlineStr">
        <is>
          <t>DUR DUR</t>
        </is>
      </c>
      <c r="E12" s="35" t="inlineStr">
        <is>
          <t>4A</t>
        </is>
      </c>
      <c r="F12" s="38" t="inlineStr">
        <is>
          <t>-</t>
        </is>
      </c>
      <c r="G12" s="38" t="inlineStr">
        <is>
          <t>-</t>
        </is>
      </c>
      <c r="H12" s="35" t="inlineStr">
        <is>
          <t>NAKURU</t>
        </is>
      </c>
      <c r="I12" s="35" t="inlineStr">
        <is>
          <t>MOMBASA</t>
        </is>
      </c>
      <c r="J12" s="35" t="inlineStr">
        <is>
          <t>WATER</t>
        </is>
      </c>
      <c r="K12" s="34" t="inlineStr">
        <is>
          <t>DM DUNCAN ODHIAMBO/DM ELIZABETH CHARI/DRIVER SILAS MWANGI</t>
        </is>
      </c>
      <c r="L12" s="35" t="inlineStr">
        <is>
          <t>CPL EMASON SAUTET</t>
        </is>
      </c>
      <c r="M12" s="34" t="inlineStr">
        <is>
          <t>LEGAL</t>
        </is>
      </c>
      <c r="N12" s="35" t="inlineStr"/>
    </row>
    <row r="13">
      <c r="B13" s="32" t="n">
        <v>46154</v>
      </c>
      <c r="C13" s="35" t="inlineStr">
        <is>
          <t>KDV441Q</t>
        </is>
      </c>
      <c r="D13" s="35" t="inlineStr">
        <is>
          <t>TAJI.</t>
        </is>
      </c>
      <c r="E13" s="35" t="inlineStr">
        <is>
          <t>2A</t>
        </is>
      </c>
      <c r="F13" s="38" t="inlineStr">
        <is>
          <t>-</t>
        </is>
      </c>
      <c r="G13" s="38" t="inlineStr">
        <is>
          <t>-</t>
        </is>
      </c>
      <c r="H13" s="35" t="inlineStr">
        <is>
          <t>NAKURU</t>
        </is>
      </c>
      <c r="I13" s="35" t="inlineStr">
        <is>
          <t>MOMBASA</t>
        </is>
      </c>
      <c r="J13" s="35" t="inlineStr">
        <is>
          <t>EMPTY TO OFFLOAD</t>
        </is>
      </c>
      <c r="K13" s="34" t="inlineStr">
        <is>
          <t>DM DUNCAN ODHIAMBO/DM ELIZABETH CHARI/DRIVER SILAS MWANGI</t>
        </is>
      </c>
      <c r="L13" s="35" t="inlineStr">
        <is>
          <t>CPL EMASON SAUTET</t>
        </is>
      </c>
      <c r="M13" s="34" t="inlineStr">
        <is>
          <t>LEGAL</t>
        </is>
      </c>
      <c r="N13" s="35" t="inlineStr"/>
    </row>
    <row r="14">
      <c r="B14" s="32" t="n">
        <v>46154</v>
      </c>
      <c r="C14" s="35" t="inlineStr">
        <is>
          <t>KBW781J</t>
        </is>
      </c>
      <c r="D14" s="35" t="inlineStr">
        <is>
          <t>OMAR HALEN.</t>
        </is>
      </c>
      <c r="E14" s="35" t="inlineStr">
        <is>
          <t>4A</t>
        </is>
      </c>
      <c r="F14" s="38" t="inlineStr">
        <is>
          <t>-</t>
        </is>
      </c>
      <c r="G14" s="38" t="inlineStr">
        <is>
          <t>-</t>
        </is>
      </c>
      <c r="H14" s="35" t="inlineStr">
        <is>
          <t>BURUBURU</t>
        </is>
      </c>
      <c r="I14" s="35" t="inlineStr">
        <is>
          <t>EASTLIEGH</t>
        </is>
      </c>
      <c r="J14" s="35" t="inlineStr">
        <is>
          <t>WATER</t>
        </is>
      </c>
      <c r="K14" s="34" t="inlineStr">
        <is>
          <t>DM DUNCAN ODHIAMBO/DM ELIZABETH CHARI/DRIVER SILAS MWANGI</t>
        </is>
      </c>
      <c r="L14" s="35" t="inlineStr">
        <is>
          <t>CPL EMASON SAUTET</t>
        </is>
      </c>
      <c r="M14" s="34" t="inlineStr">
        <is>
          <t>LEGAL</t>
        </is>
      </c>
      <c r="N14" s="35" t="inlineStr"/>
    </row>
    <row r="15">
      <c r="B15" s="32" t="n">
        <v>46154</v>
      </c>
      <c r="C15" s="35" t="inlineStr">
        <is>
          <t>KDV441Q</t>
        </is>
      </c>
      <c r="D15" s="35" t="inlineStr">
        <is>
          <t>TAJI.</t>
        </is>
      </c>
      <c r="E15" s="35" t="inlineStr">
        <is>
          <t>2A</t>
        </is>
      </c>
      <c r="F15" s="38" t="inlineStr">
        <is>
          <t>-</t>
        </is>
      </c>
      <c r="G15" s="38" t="n">
        <v>1250</v>
      </c>
      <c r="H15" s="35" t="inlineStr">
        <is>
          <t>NAKURU</t>
        </is>
      </c>
      <c r="I15" s="35" t="inlineStr">
        <is>
          <t>MOMBASA</t>
        </is>
      </c>
      <c r="J15" s="35" t="inlineStr">
        <is>
          <t>WATER</t>
        </is>
      </c>
      <c r="K15" s="34" t="inlineStr">
        <is>
          <t>DM DUNCAN ODHIAMBO/DM ELIZABETH CHARI/DRIVER SILAS MWANGI</t>
        </is>
      </c>
      <c r="L15" s="35" t="inlineStr">
        <is>
          <t>CPL EMASON SAUTET</t>
        </is>
      </c>
      <c r="M15" s="34" t="inlineStr">
        <is>
          <t>WARNED</t>
        </is>
      </c>
      <c r="N15" s="35" t="inlineStr"/>
    </row>
    <row r="16">
      <c r="B16" s="32" t="n">
        <v>46154</v>
      </c>
      <c r="C16" s="35" t="inlineStr">
        <is>
          <t>KDS874J</t>
        </is>
      </c>
      <c r="D16" s="35" t="inlineStr">
        <is>
          <t>ONDA CONCRETE</t>
        </is>
      </c>
      <c r="E16" s="35" t="inlineStr">
        <is>
          <t>4*WW|DD||</t>
        </is>
      </c>
      <c r="F16" s="38" t="inlineStr">
        <is>
          <t>-</t>
        </is>
      </c>
      <c r="G16" s="38" t="inlineStr">
        <is>
          <t>-</t>
        </is>
      </c>
      <c r="H16" s="35" t="inlineStr">
        <is>
          <t>KANGEMI</t>
        </is>
      </c>
      <c r="I16" s="35" t="inlineStr">
        <is>
          <t>WESTLANDS</t>
        </is>
      </c>
      <c r="J16" s="35" t="inlineStr">
        <is>
          <t>CONCRETE MIX</t>
        </is>
      </c>
      <c r="K16" s="34" t="inlineStr">
        <is>
          <t>DM DUNCAN ODHIAMBO/DM ELIZABETH CHARI/DRIVER SILAS MWANGI</t>
        </is>
      </c>
      <c r="L16" s="35" t="inlineStr">
        <is>
          <t>CPL EMASON SAUTET</t>
        </is>
      </c>
      <c r="M16" s="34" t="inlineStr">
        <is>
          <t>LEGAL</t>
        </is>
      </c>
      <c r="N16" s="35" t="inlineStr"/>
    </row>
    <row r="17">
      <c r="B17" s="32" t="n">
        <v>46154</v>
      </c>
      <c r="C17" s="35" t="inlineStr">
        <is>
          <t>KDT651M</t>
        </is>
      </c>
      <c r="D17" s="35" t="inlineStr">
        <is>
          <t>C MWANIKI</t>
        </is>
      </c>
      <c r="E17" s="35" t="inlineStr">
        <is>
          <t>2A</t>
        </is>
      </c>
      <c r="F17" s="38" t="inlineStr">
        <is>
          <t>-</t>
        </is>
      </c>
      <c r="G17" s="38" t="inlineStr">
        <is>
          <t>-</t>
        </is>
      </c>
      <c r="H17" s="35" t="inlineStr">
        <is>
          <t>NAKURU</t>
        </is>
      </c>
      <c r="I17" s="35" t="inlineStr">
        <is>
          <t>MOMBASA</t>
        </is>
      </c>
      <c r="J17" s="35" t="inlineStr">
        <is>
          <t>FRENCH BEANS</t>
        </is>
      </c>
      <c r="K17" s="34" t="inlineStr">
        <is>
          <t>DM DUNCAN ODHIAMBO/DM ELIZABETH CHARI/DRIVER SILAS MWANGI</t>
        </is>
      </c>
      <c r="L17" s="35" t="inlineStr">
        <is>
          <t>CPL EMASON SAUTET</t>
        </is>
      </c>
      <c r="M17" s="34" t="inlineStr">
        <is>
          <t>LEGAL</t>
        </is>
      </c>
      <c r="N17" s="35" t="inlineStr"/>
    </row>
    <row r="18">
      <c r="B18" s="32" t="n">
        <v>46154</v>
      </c>
      <c r="C18" s="35" t="inlineStr">
        <is>
          <t>KDC439L</t>
        </is>
      </c>
      <c r="D18" s="35" t="inlineStr">
        <is>
          <t>WAGATUNDU STORES</t>
        </is>
      </c>
      <c r="E18" s="35" t="inlineStr">
        <is>
          <t>2A</t>
        </is>
      </c>
      <c r="F18" s="38" t="inlineStr">
        <is>
          <t>-</t>
        </is>
      </c>
      <c r="G18" s="38" t="inlineStr">
        <is>
          <t>-</t>
        </is>
      </c>
      <c r="H18" s="35" t="inlineStr">
        <is>
          <t>NAKURU</t>
        </is>
      </c>
      <c r="I18" s="35" t="inlineStr">
        <is>
          <t>MOMBASA</t>
        </is>
      </c>
      <c r="J18" s="35" t="inlineStr">
        <is>
          <t>BEANS</t>
        </is>
      </c>
      <c r="K18" s="34" t="inlineStr">
        <is>
          <t>DM DUNCAN ODHIAMBO/DM ELIZABETH CHARI/DRIVER SILAS MWANGI</t>
        </is>
      </c>
      <c r="L18" s="35" t="inlineStr">
        <is>
          <t>CPL EMASON SAUTET</t>
        </is>
      </c>
      <c r="M18" s="34" t="inlineStr">
        <is>
          <t>LEGAL</t>
        </is>
      </c>
      <c r="N18" s="35" t="inlineStr"/>
    </row>
    <row r="19">
      <c r="B19" s="32" t="n">
        <v>46154</v>
      </c>
      <c r="C19" s="35" t="inlineStr">
        <is>
          <t>KDV739N</t>
        </is>
      </c>
      <c r="D19" s="35" t="inlineStr">
        <is>
          <t>MWIJABAKAJO</t>
        </is>
      </c>
      <c r="E19" s="35" t="inlineStr">
        <is>
          <t>2A</t>
        </is>
      </c>
      <c r="F19" s="38" t="inlineStr">
        <is>
          <t>-</t>
        </is>
      </c>
      <c r="G19" s="38" t="inlineStr">
        <is>
          <t>-</t>
        </is>
      </c>
      <c r="H19" s="35" t="inlineStr">
        <is>
          <t>KANGEMI</t>
        </is>
      </c>
      <c r="I19" s="35" t="inlineStr">
        <is>
          <t>NAIROBI</t>
        </is>
      </c>
      <c r="J19" s="35" t="inlineStr">
        <is>
          <t>BLOCKS</t>
        </is>
      </c>
      <c r="K19" s="34" t="inlineStr">
        <is>
          <t>DM DUNCAN ODHIAMBO/DM ELIZABETH CHARI/DRIVER SILAS MWANGI</t>
        </is>
      </c>
      <c r="L19" s="35" t="inlineStr">
        <is>
          <t>CPL EMASON SAUTET</t>
        </is>
      </c>
      <c r="M19" s="34" t="inlineStr">
        <is>
          <t>LEGAL</t>
        </is>
      </c>
      <c r="N19" s="35" t="inlineStr"/>
    </row>
    <row r="20">
      <c r="B20" s="32" t="n">
        <v>46154</v>
      </c>
      <c r="C20" s="35" t="inlineStr">
        <is>
          <t>KBJ976Z</t>
        </is>
      </c>
      <c r="D20" s="35" t="inlineStr">
        <is>
          <t>BOLD MILLERS</t>
        </is>
      </c>
      <c r="E20" s="35" t="inlineStr">
        <is>
          <t>2A</t>
        </is>
      </c>
      <c r="F20" s="38" t="inlineStr">
        <is>
          <t>-</t>
        </is>
      </c>
      <c r="G20" s="38" t="inlineStr">
        <is>
          <t>-</t>
        </is>
      </c>
      <c r="H20" s="35" t="inlineStr">
        <is>
          <t>NAKURU</t>
        </is>
      </c>
      <c r="I20" s="35" t="inlineStr">
        <is>
          <t>MOMBASA</t>
        </is>
      </c>
      <c r="J20" s="35" t="inlineStr">
        <is>
          <t>FLOUR</t>
        </is>
      </c>
      <c r="K20" s="34" t="inlineStr">
        <is>
          <t>DM DUNCAN ODHIAMBO/DM ELIZABETH CHARI/DRIVER SILAS MWANGI</t>
        </is>
      </c>
      <c r="L20" s="35" t="inlineStr">
        <is>
          <t>CPL EMASON SAUTET</t>
        </is>
      </c>
      <c r="M20" s="34" t="inlineStr">
        <is>
          <t>LEGAL</t>
        </is>
      </c>
      <c r="N20" s="35" t="inlineStr"/>
    </row>
    <row r="21">
      <c r="B21" s="32" t="n">
        <v>46154</v>
      </c>
      <c r="C21" s="35" t="inlineStr">
        <is>
          <t>KDH273N</t>
        </is>
      </c>
      <c r="D21" s="35" t="inlineStr">
        <is>
          <t>GUARDIAN PARCEL</t>
        </is>
      </c>
      <c r="E21" s="35" t="inlineStr">
        <is>
          <t>2A</t>
        </is>
      </c>
      <c r="F21" s="38" t="inlineStr">
        <is>
          <t>-</t>
        </is>
      </c>
      <c r="G21" s="38" t="inlineStr">
        <is>
          <t>-</t>
        </is>
      </c>
      <c r="H21" s="35" t="inlineStr">
        <is>
          <t>NAKURU</t>
        </is>
      </c>
      <c r="I21" s="35" t="inlineStr">
        <is>
          <t>NAIROBI</t>
        </is>
      </c>
      <c r="J21" s="35" t="inlineStr">
        <is>
          <t>PARCELS</t>
        </is>
      </c>
      <c r="K21" s="34" t="inlineStr">
        <is>
          <t>DM DUNCAN ODHIAMBO/DM ELIZABETH CHARI/DRIVER SILAS MWANGI</t>
        </is>
      </c>
      <c r="L21" s="35" t="inlineStr">
        <is>
          <t>CPL EMASON SAUTET</t>
        </is>
      </c>
      <c r="M21" s="34" t="inlineStr">
        <is>
          <t>LEGAL</t>
        </is>
      </c>
      <c r="N21" s="35" t="inlineStr"/>
    </row>
    <row r="22">
      <c r="B22" s="32" t="n">
        <v>46154</v>
      </c>
      <c r="C22" s="35" t="inlineStr">
        <is>
          <t>KCS149N</t>
        </is>
      </c>
      <c r="D22" s="35" t="inlineStr">
        <is>
          <t>MAMA MILLERS</t>
        </is>
      </c>
      <c r="E22" s="35" t="inlineStr">
        <is>
          <t>2A</t>
        </is>
      </c>
      <c r="F22" s="38" t="inlineStr">
        <is>
          <t>-</t>
        </is>
      </c>
      <c r="G22" s="38" t="inlineStr">
        <is>
          <t>-</t>
        </is>
      </c>
      <c r="H22" s="35" t="inlineStr">
        <is>
          <t>NAKURU</t>
        </is>
      </c>
      <c r="I22" s="35" t="inlineStr">
        <is>
          <t>NAIROBI</t>
        </is>
      </c>
      <c r="J22" s="35" t="inlineStr">
        <is>
          <t>BREAD</t>
        </is>
      </c>
      <c r="K22" s="34" t="inlineStr">
        <is>
          <t>DM DUNCAN ODHIAMBO/DM ELIZABETH CHARI/DRIVER SILAS MWANGI</t>
        </is>
      </c>
      <c r="L22" s="35" t="inlineStr">
        <is>
          <t>CPL EMASON SAUTET</t>
        </is>
      </c>
      <c r="M22" s="34" t="inlineStr">
        <is>
          <t>LEGAL</t>
        </is>
      </c>
      <c r="N22" s="35" t="inlineStr"/>
    </row>
    <row r="23">
      <c r="B23" s="32" t="n">
        <v>46154</v>
      </c>
      <c r="C23" s="35" t="inlineStr">
        <is>
          <t>KDW642Z</t>
        </is>
      </c>
      <c r="D23" s="35" t="inlineStr">
        <is>
          <t>KIJU</t>
        </is>
      </c>
      <c r="E23" s="35" t="inlineStr">
        <is>
          <t>2A</t>
        </is>
      </c>
      <c r="F23" s="38" t="inlineStr">
        <is>
          <t>-</t>
        </is>
      </c>
      <c r="G23" s="38" t="n">
        <v>1800</v>
      </c>
      <c r="H23" s="35" t="inlineStr">
        <is>
          <t>NAKURU</t>
        </is>
      </c>
      <c r="I23" s="35" t="inlineStr">
        <is>
          <t>MOMBASA</t>
        </is>
      </c>
      <c r="J23" s="35" t="inlineStr">
        <is>
          <t>POTATOES</t>
        </is>
      </c>
      <c r="K23" s="34" t="inlineStr">
        <is>
          <t>DM DUNCAN ODHIAMBO/DM ELIZABETH CHARI/DRIVER SILAS MWANGI</t>
        </is>
      </c>
      <c r="L23" s="35" t="inlineStr">
        <is>
          <t>CPL EMASON SAUTET</t>
        </is>
      </c>
      <c r="M23" s="34" t="inlineStr">
        <is>
          <t>WARNED</t>
        </is>
      </c>
      <c r="N23" s="35" t="inlineStr"/>
    </row>
    <row r="24">
      <c r="B24" s="32" t="n">
        <v>46154</v>
      </c>
      <c r="C24" s="35" t="inlineStr">
        <is>
          <t>KDL304J</t>
        </is>
      </c>
      <c r="D24" s="35" t="inlineStr">
        <is>
          <t>SUSAN OIRO</t>
        </is>
      </c>
      <c r="E24" s="35" t="inlineStr">
        <is>
          <t>2A</t>
        </is>
      </c>
      <c r="F24" s="38" t="inlineStr">
        <is>
          <t>-</t>
        </is>
      </c>
      <c r="G24" s="38" t="inlineStr">
        <is>
          <t>-</t>
        </is>
      </c>
      <c r="H24" s="35" t="inlineStr">
        <is>
          <t>LIMURU</t>
        </is>
      </c>
      <c r="I24" s="35" t="inlineStr">
        <is>
          <t>WESTLANDS</t>
        </is>
      </c>
      <c r="J24" s="35" t="inlineStr">
        <is>
          <t>MILK</t>
        </is>
      </c>
      <c r="K24" s="34" t="inlineStr">
        <is>
          <t>DM DUNCAN ODHIAMBO/DM ELIZABETH CHARI/DRIVER SILAS MWANGI</t>
        </is>
      </c>
      <c r="L24" s="35" t="inlineStr">
        <is>
          <t>CPL EMASON SAUTET</t>
        </is>
      </c>
      <c r="M24" s="34" t="inlineStr">
        <is>
          <t>LEGAL</t>
        </is>
      </c>
      <c r="N24" s="35" t="inlineStr"/>
    </row>
    <row r="25">
      <c r="B25" s="32" t="n">
        <v>46154</v>
      </c>
      <c r="C25" s="35" t="inlineStr">
        <is>
          <t>KDV915V</t>
        </is>
      </c>
      <c r="D25" s="35" t="inlineStr">
        <is>
          <t>KINGSMIL</t>
        </is>
      </c>
      <c r="E25" s="35" t="inlineStr">
        <is>
          <t>2A</t>
        </is>
      </c>
      <c r="F25" s="38" t="inlineStr">
        <is>
          <t>-</t>
        </is>
      </c>
      <c r="G25" s="38" t="inlineStr">
        <is>
          <t>-</t>
        </is>
      </c>
      <c r="H25" s="35" t="inlineStr">
        <is>
          <t>NAKURU</t>
        </is>
      </c>
      <c r="I25" s="35" t="inlineStr">
        <is>
          <t>MOMBASA</t>
        </is>
      </c>
      <c r="J25" s="35" t="inlineStr">
        <is>
          <t>BREAD</t>
        </is>
      </c>
      <c r="K25" s="34" t="inlineStr">
        <is>
          <t>DM DUNCAN ODHIAMBO/DM ELIZABETH CHARI/DRIVER SILAS MWANGI</t>
        </is>
      </c>
      <c r="L25" s="35" t="inlineStr">
        <is>
          <t>CPL EMASON SAUTET</t>
        </is>
      </c>
      <c r="M25" s="34" t="inlineStr">
        <is>
          <t>LEGAL</t>
        </is>
      </c>
      <c r="N25" s="35" t="inlineStr"/>
    </row>
  </sheetData>
  <mergeCells count="10">
    <mergeCell ref="B9:E9"/>
    <mergeCell ref="C6:D6"/>
    <mergeCell ref="C7:D7"/>
    <mergeCell ref="K4:M4"/>
    <mergeCell ref="H9:N9"/>
    <mergeCell ref="C5:D5"/>
    <mergeCell ref="G5:H5"/>
    <mergeCell ref="E5:F5"/>
    <mergeCell ref="B2:N2"/>
    <mergeCell ref="F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2026-06-30T12:26:34Z</dcterms:created>
  <dcterms:modified xmlns:dcterms="http://purl.org/dc/terms/" xmlns:xsi="http://www.w3.org/2001/XMLSchema-instance" xsi:type="dcterms:W3CDTF">2026-06-30T12:26:34Z</dcterms:modified>
</cp:coreProperties>
</file>